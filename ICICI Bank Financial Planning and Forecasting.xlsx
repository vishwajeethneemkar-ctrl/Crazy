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adhrivishal\Downloads\"/>
    </mc:Choice>
  </mc:AlternateContent>
  <xr:revisionPtr revIDLastSave="0" documentId="13_ncr:1_{977BE74A-1F4B-44D9-9813-0200E69FA73E}" xr6:coauthVersionLast="47" xr6:coauthVersionMax="47" xr10:uidLastSave="{00000000-0000-0000-0000-000000000000}"/>
  <bookViews>
    <workbookView xWindow="-108" yWindow="-108" windowWidth="23256" windowHeight="12456" tabRatio="500" firstSheet="2" activeTab="5" xr2:uid="{00000000-000D-0000-FFFF-FFFF00000000}"/>
  </bookViews>
  <sheets>
    <sheet name="Overview and Historicals" sheetId="2" r:id="rId1"/>
    <sheet name="Dashboard" sheetId="1" r:id="rId2"/>
    <sheet name="Assumptions" sheetId="3" r:id="rId3"/>
    <sheet name="Forecast" sheetId="4" r:id="rId4"/>
    <sheet name="Scenario Analysis" sheetId="5" r:id="rId5"/>
    <sheet name="Management Recommendation"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 r="P9" i="5"/>
  <c r="Q9" i="5" s="1"/>
  <c r="R9" i="5" s="1"/>
  <c r="S9" i="5" s="1"/>
  <c r="T9" i="5" s="1"/>
  <c r="P8" i="5"/>
  <c r="Q8" i="5" s="1"/>
  <c r="R8" i="5" s="1"/>
  <c r="S8" i="5" s="1"/>
  <c r="T8" i="5" s="1"/>
  <c r="P7" i="5"/>
  <c r="Q7" i="5" s="1"/>
  <c r="R7" i="5" s="1"/>
  <c r="S7" i="5" s="1"/>
  <c r="T7" i="5" s="1"/>
  <c r="P6" i="5"/>
  <c r="Q6" i="5" s="1"/>
  <c r="R6" i="5" s="1"/>
  <c r="S6" i="5" s="1"/>
  <c r="T6" i="5" s="1"/>
  <c r="P5" i="5"/>
  <c r="I9" i="5"/>
  <c r="J9" i="5" s="1"/>
  <c r="K9" i="5" s="1"/>
  <c r="L9" i="5" s="1"/>
  <c r="M9" i="5" s="1"/>
  <c r="I8" i="5"/>
  <c r="J8" i="5" s="1"/>
  <c r="K8" i="5" s="1"/>
  <c r="L8" i="5" s="1"/>
  <c r="M8" i="5" s="1"/>
  <c r="I7" i="5"/>
  <c r="J7" i="5" s="1"/>
  <c r="K7" i="5" s="1"/>
  <c r="L7" i="5" s="1"/>
  <c r="M7" i="5" s="1"/>
  <c r="I6" i="5"/>
  <c r="J6" i="5" s="1"/>
  <c r="K6" i="5" s="1"/>
  <c r="L6" i="5" s="1"/>
  <c r="M6" i="5" s="1"/>
  <c r="I5" i="5"/>
  <c r="B9" i="5"/>
  <c r="C9" i="5" s="1"/>
  <c r="D9" i="5" s="1"/>
  <c r="E9" i="5" s="1"/>
  <c r="F9" i="5" s="1"/>
  <c r="B8" i="5"/>
  <c r="C8" i="5" s="1"/>
  <c r="D8" i="5" s="1"/>
  <c r="E8" i="5" s="1"/>
  <c r="F8" i="5" s="1"/>
  <c r="B7" i="5"/>
  <c r="C7" i="5" s="1"/>
  <c r="D7" i="5" s="1"/>
  <c r="E7" i="5" s="1"/>
  <c r="F7" i="5" s="1"/>
  <c r="B6" i="5"/>
  <c r="C6" i="5" s="1"/>
  <c r="D6" i="5" s="1"/>
  <c r="E6" i="5" s="1"/>
  <c r="F6" i="5" s="1"/>
  <c r="B5" i="5"/>
  <c r="F24" i="4"/>
  <c r="E24" i="4"/>
  <c r="D24" i="4"/>
  <c r="C24" i="4"/>
  <c r="B24" i="4"/>
  <c r="A2" i="4"/>
  <c r="F42" i="2"/>
  <c r="E42" i="2"/>
  <c r="D42" i="2"/>
  <c r="C42" i="2"/>
  <c r="B42" i="2"/>
  <c r="F35" i="2"/>
  <c r="E35" i="2"/>
  <c r="D35" i="2"/>
  <c r="C35" i="2"/>
  <c r="B35" i="2"/>
  <c r="F31" i="2"/>
  <c r="E31" i="2"/>
  <c r="D31" i="2"/>
  <c r="C31" i="2"/>
  <c r="B31" i="2"/>
  <c r="F10" i="2"/>
  <c r="F12" i="2" s="1"/>
  <c r="F14" i="2" s="1"/>
  <c r="E10" i="2"/>
  <c r="E12" i="2" s="1"/>
  <c r="E14" i="2" s="1"/>
  <c r="D10" i="2"/>
  <c r="D12" i="2" s="1"/>
  <c r="D14" i="2" s="1"/>
  <c r="C10" i="2"/>
  <c r="C12" i="2" s="1"/>
  <c r="C14" i="2" s="1"/>
  <c r="B10" i="2"/>
  <c r="B12" i="2" s="1"/>
  <c r="B14" i="2" s="1"/>
  <c r="B16" i="2" s="1"/>
  <c r="B19" i="2" s="1"/>
  <c r="B21" i="2" s="1"/>
  <c r="E16" i="1"/>
  <c r="D16" i="1"/>
  <c r="C16" i="1"/>
  <c r="B16" i="1"/>
  <c r="P10" i="5" l="1"/>
  <c r="P11" i="5" s="1"/>
  <c r="P12" i="5" s="1"/>
  <c r="Q5" i="5"/>
  <c r="J5" i="5"/>
  <c r="I10" i="5"/>
  <c r="I11" i="5" s="1"/>
  <c r="I12" i="5" s="1"/>
  <c r="B10" i="5"/>
  <c r="B11" i="5" s="1"/>
  <c r="B12" i="5" s="1"/>
  <c r="C5" i="5"/>
  <c r="F28" i="3"/>
  <c r="D28" i="3"/>
  <c r="F27" i="3"/>
  <c r="D27" i="3"/>
  <c r="B27" i="3"/>
  <c r="E26" i="3"/>
  <c r="C26" i="3"/>
  <c r="F25" i="3"/>
  <c r="D25" i="3"/>
  <c r="B25" i="3"/>
  <c r="B17" i="4" s="1"/>
  <c r="C17" i="4" s="1"/>
  <c r="D17" i="4" s="1"/>
  <c r="E17" i="4" s="1"/>
  <c r="F17" i="4" s="1"/>
  <c r="E28" i="3"/>
  <c r="C28" i="3"/>
  <c r="B28" i="3"/>
  <c r="E27" i="3"/>
  <c r="C27" i="3"/>
  <c r="F26" i="3"/>
  <c r="D26" i="3"/>
  <c r="B26" i="3"/>
  <c r="E25" i="3"/>
  <c r="C25" i="3"/>
  <c r="F24" i="3"/>
  <c r="E24" i="3"/>
  <c r="D24" i="3"/>
  <c r="C24" i="3"/>
  <c r="B24" i="3"/>
  <c r="B12" i="4" s="1"/>
  <c r="F23" i="3"/>
  <c r="E23" i="3"/>
  <c r="D23" i="3"/>
  <c r="C23" i="3"/>
  <c r="B23" i="3"/>
  <c r="B10" i="4" s="1"/>
  <c r="F22" i="3"/>
  <c r="E22" i="3"/>
  <c r="D22" i="3"/>
  <c r="C22" i="3"/>
  <c r="B22" i="3"/>
  <c r="B7" i="4" s="1"/>
  <c r="F21" i="3"/>
  <c r="E21" i="3"/>
  <c r="D21" i="3"/>
  <c r="C21" i="3"/>
  <c r="B21" i="3"/>
  <c r="B5" i="4" s="1"/>
  <c r="E18" i="1"/>
  <c r="F16" i="2"/>
  <c r="F19" i="2" s="1"/>
  <c r="E16" i="2"/>
  <c r="E19" i="2" s="1"/>
  <c r="D18" i="1"/>
  <c r="D16" i="2"/>
  <c r="D19" i="2" s="1"/>
  <c r="C18" i="1"/>
  <c r="B18" i="1"/>
  <c r="C16" i="2"/>
  <c r="C19" i="2" s="1"/>
  <c r="P13" i="5" l="1"/>
  <c r="P14" i="5"/>
  <c r="R5" i="5"/>
  <c r="Q10" i="5"/>
  <c r="Q11" i="5" s="1"/>
  <c r="Q12" i="5" s="1"/>
  <c r="J10" i="5"/>
  <c r="J11" i="5" s="1"/>
  <c r="J12" i="5" s="1"/>
  <c r="K5" i="5"/>
  <c r="I13" i="5"/>
  <c r="I14" i="5"/>
  <c r="I15" i="5" s="1"/>
  <c r="I16" i="5" s="1"/>
  <c r="B13" i="5"/>
  <c r="B14" i="5"/>
  <c r="D5" i="5"/>
  <c r="C10" i="5"/>
  <c r="C11" i="5" s="1"/>
  <c r="C12" i="5" s="1"/>
  <c r="C12" i="4"/>
  <c r="B13" i="4"/>
  <c r="C10" i="4"/>
  <c r="B11" i="4"/>
  <c r="C7" i="4"/>
  <c r="B8" i="4"/>
  <c r="C5" i="4"/>
  <c r="B6" i="4"/>
  <c r="B9" i="4"/>
  <c r="F16" i="1"/>
  <c r="E19" i="1"/>
  <c r="F21" i="2"/>
  <c r="E17" i="1"/>
  <c r="E21" i="2"/>
  <c r="D19" i="1"/>
  <c r="D17" i="1"/>
  <c r="D21" i="2"/>
  <c r="C17" i="1"/>
  <c r="C19" i="1"/>
  <c r="C21" i="2"/>
  <c r="B17" i="1"/>
  <c r="B19" i="1"/>
  <c r="B15" i="5" l="1"/>
  <c r="B16" i="5" s="1"/>
  <c r="P15" i="5"/>
  <c r="P16" i="5" s="1"/>
  <c r="S5" i="5"/>
  <c r="R10" i="5"/>
  <c r="R11" i="5" s="1"/>
  <c r="R12" i="5" s="1"/>
  <c r="Q13" i="5"/>
  <c r="Q14" i="5"/>
  <c r="J13" i="5"/>
  <c r="J14" i="5"/>
  <c r="L5" i="5"/>
  <c r="K10" i="5"/>
  <c r="K11" i="5" s="1"/>
  <c r="K12" i="5" s="1"/>
  <c r="E5" i="5"/>
  <c r="D10" i="5"/>
  <c r="D11" i="5" s="1"/>
  <c r="D12" i="5" s="1"/>
  <c r="C13" i="5"/>
  <c r="C14" i="5"/>
  <c r="D12" i="4"/>
  <c r="C13" i="4"/>
  <c r="D10" i="4"/>
  <c r="C11" i="4"/>
  <c r="D7" i="4"/>
  <c r="C8" i="4"/>
  <c r="D5" i="4"/>
  <c r="C6" i="4"/>
  <c r="C9" i="4"/>
  <c r="G16" i="1"/>
  <c r="B14" i="4"/>
  <c r="B16" i="4"/>
  <c r="J15" i="5" l="1"/>
  <c r="J16" i="5" s="1"/>
  <c r="Q15" i="5"/>
  <c r="Q16" i="5" s="1"/>
  <c r="C15" i="5"/>
  <c r="C16" i="5" s="1"/>
  <c r="T5" i="5"/>
  <c r="S10" i="5"/>
  <c r="S11" i="5" s="1"/>
  <c r="S12" i="5" s="1"/>
  <c r="R13" i="5"/>
  <c r="R14" i="5"/>
  <c r="M5" i="5"/>
  <c r="L10" i="5"/>
  <c r="L11" i="5" s="1"/>
  <c r="L12" i="5" s="1"/>
  <c r="K13" i="5"/>
  <c r="K14" i="5"/>
  <c r="F5" i="5"/>
  <c r="E10" i="5"/>
  <c r="E11" i="5" s="1"/>
  <c r="E12" i="5" s="1"/>
  <c r="D13" i="5"/>
  <c r="D15" i="5" s="1"/>
  <c r="D16" i="5" s="1"/>
  <c r="D14" i="5"/>
  <c r="E12" i="4"/>
  <c r="D13" i="4"/>
  <c r="E10" i="4"/>
  <c r="D11" i="4"/>
  <c r="E7" i="4"/>
  <c r="D8" i="4"/>
  <c r="E5" i="4"/>
  <c r="D6" i="4"/>
  <c r="D9" i="4"/>
  <c r="H16" i="1"/>
  <c r="F18" i="1"/>
  <c r="B18" i="4"/>
  <c r="B15" i="4"/>
  <c r="C14" i="4"/>
  <c r="C16" i="4"/>
  <c r="R15" i="5" l="1"/>
  <c r="R16" i="5" s="1"/>
  <c r="K15" i="5"/>
  <c r="K16" i="5" s="1"/>
  <c r="D14" i="4"/>
  <c r="D16" i="4"/>
  <c r="T10" i="5"/>
  <c r="T11" i="5" s="1"/>
  <c r="D27" i="5"/>
  <c r="S13" i="5"/>
  <c r="S14" i="5"/>
  <c r="M10" i="5"/>
  <c r="M11" i="5" s="1"/>
  <c r="C27" i="5"/>
  <c r="L13" i="5"/>
  <c r="L14" i="5"/>
  <c r="F10" i="5"/>
  <c r="F11" i="5" s="1"/>
  <c r="B27" i="5"/>
  <c r="E13" i="5"/>
  <c r="E14" i="5"/>
  <c r="F12" i="4"/>
  <c r="F13" i="4" s="1"/>
  <c r="E13" i="4"/>
  <c r="F10" i="4"/>
  <c r="E11" i="4"/>
  <c r="F7" i="4"/>
  <c r="F8" i="4" s="1"/>
  <c r="E8" i="4"/>
  <c r="F5" i="4"/>
  <c r="E6" i="4"/>
  <c r="E9" i="4"/>
  <c r="I16" i="1"/>
  <c r="B19" i="4"/>
  <c r="B20" i="4"/>
  <c r="B21" i="4"/>
  <c r="G18" i="1"/>
  <c r="C18" i="4"/>
  <c r="C15" i="4"/>
  <c r="S15" i="5" l="1"/>
  <c r="S16" i="5" s="1"/>
  <c r="E15" i="5"/>
  <c r="E16" i="5" s="1"/>
  <c r="B22" i="4"/>
  <c r="F19" i="1" s="1"/>
  <c r="D15" i="4"/>
  <c r="H18" i="1"/>
  <c r="D18" i="4"/>
  <c r="L15" i="5"/>
  <c r="L16" i="5" s="1"/>
  <c r="T12" i="5"/>
  <c r="D28" i="5"/>
  <c r="M12" i="5"/>
  <c r="C28" i="5"/>
  <c r="F12" i="5"/>
  <c r="B28" i="5"/>
  <c r="F11" i="4"/>
  <c r="F6" i="4"/>
  <c r="F9" i="4"/>
  <c r="J16" i="1"/>
  <c r="E10" i="1"/>
  <c r="A10" i="1"/>
  <c r="C19" i="4"/>
  <c r="C20" i="4"/>
  <c r="C21" i="4"/>
  <c r="E14" i="4"/>
  <c r="E16" i="4"/>
  <c r="B23" i="4" l="1"/>
  <c r="B25" i="4"/>
  <c r="B26" i="4" s="1"/>
  <c r="F17" i="1"/>
  <c r="D19" i="4"/>
  <c r="D20" i="4"/>
  <c r="D21" i="4"/>
  <c r="C22" i="4"/>
  <c r="T13" i="5"/>
  <c r="T14" i="5"/>
  <c r="M13" i="5"/>
  <c r="M14" i="5"/>
  <c r="F13" i="5"/>
  <c r="F14" i="5"/>
  <c r="F15" i="5" s="1"/>
  <c r="I18" i="1"/>
  <c r="E18" i="4"/>
  <c r="E15" i="4"/>
  <c r="F14" i="4"/>
  <c r="F16" i="4"/>
  <c r="K10" i="1"/>
  <c r="T15" i="5" l="1"/>
  <c r="M15" i="5"/>
  <c r="C29" i="5" s="1"/>
  <c r="D22" i="4"/>
  <c r="D23" i="4"/>
  <c r="H19" i="1"/>
  <c r="C25" i="4"/>
  <c r="C26" i="4" s="1"/>
  <c r="G17" i="1"/>
  <c r="C23" i="4"/>
  <c r="G19" i="1"/>
  <c r="C30" i="5"/>
  <c r="C31" i="5"/>
  <c r="M16" i="5"/>
  <c r="F16" i="5"/>
  <c r="B29" i="5"/>
  <c r="B30" i="5"/>
  <c r="B31" i="5"/>
  <c r="E19" i="4"/>
  <c r="E20" i="4"/>
  <c r="E21" i="4"/>
  <c r="J18" i="1"/>
  <c r="F18" i="4"/>
  <c r="F15" i="4"/>
  <c r="T16" i="5" l="1"/>
  <c r="D29" i="5"/>
  <c r="D30" i="5"/>
  <c r="D31" i="5"/>
  <c r="D25" i="4"/>
  <c r="H17" i="1"/>
  <c r="E22" i="4"/>
  <c r="D26" i="4"/>
  <c r="I19" i="1"/>
  <c r="E23" i="4"/>
  <c r="F19" i="4"/>
  <c r="F20" i="4"/>
  <c r="F21" i="4"/>
  <c r="I17" i="1" l="1"/>
  <c r="E25" i="4"/>
  <c r="E26" i="4" s="1"/>
  <c r="F22" i="4"/>
  <c r="J19" i="1" s="1"/>
  <c r="A13" i="1"/>
  <c r="B6" i="6"/>
  <c r="G10" i="1" l="1"/>
  <c r="F25" i="4"/>
  <c r="F26" i="4" s="1"/>
  <c r="F23" i="4"/>
  <c r="C10" i="1"/>
  <c r="I10" i="1"/>
  <c r="J17" i="1"/>
</calcChain>
</file>

<file path=xl/sharedStrings.xml><?xml version="1.0" encoding="utf-8"?>
<sst xmlns="http://schemas.openxmlformats.org/spreadsheetml/2006/main" count="295" uniqueCount="153">
  <si>
    <t>ICICI BANK LTD — FINANCIAL PLANNING DASHBOARD</t>
  </si>
  <si>
    <t>KEY FINANCIAL KPIs  (FY2030-31E, active scenario)</t>
  </si>
  <si>
    <t>Revenue FY2030-31E</t>
  </si>
  <si>
    <t>Net Profit FY2030-31E</t>
  </si>
  <si>
    <t>Revenue CAGR (FY26-31E)</t>
  </si>
  <si>
    <t>Net Profit CAGR (FY26-31E)</t>
  </si>
  <si>
    <t>Net Margin FY2030-31E</t>
  </si>
  <si>
    <t>Cost-to-Income FY2030-31E</t>
  </si>
  <si>
    <t>Year</t>
  </si>
  <si>
    <t>FY2022-23</t>
  </si>
  <si>
    <t>FY2023-24</t>
  </si>
  <si>
    <t>FY2024-25</t>
  </si>
  <si>
    <t>FY2025-26</t>
  </si>
  <si>
    <t>FY2026-27</t>
  </si>
  <si>
    <t>FY2027-28</t>
  </si>
  <si>
    <t>FY2028-29</t>
  </si>
  <si>
    <t>FY2029-30</t>
  </si>
  <si>
    <t>FY2030-31</t>
  </si>
  <si>
    <t>Revenue (₹ Cr)</t>
  </si>
  <si>
    <t>Net Profit (₹ Cr)</t>
  </si>
  <si>
    <t>PPOP Margin %</t>
  </si>
  <si>
    <t>Net Margin %</t>
  </si>
  <si>
    <t>ICICI BANK LTD (CONSOLIDATED) — COMPANY OVERVIEW &amp; HISTORICAL FINANCIALS</t>
  </si>
  <si>
    <t>COMPANY OVERVIEW</t>
  </si>
  <si>
    <t>ICICI Bank Ltd (Industrial Credit and Investment Corporation of India Bank Ltd)</t>
  </si>
  <si>
    <t>PROFIT &amp; LOSS</t>
  </si>
  <si>
    <t>KEY RATIOS</t>
  </si>
  <si>
    <t>Particulars</t>
  </si>
  <si>
    <t>FY2022</t>
  </si>
  <si>
    <t>FY2023</t>
  </si>
  <si>
    <t>FY2024</t>
  </si>
  <si>
    <t>FY2025</t>
  </si>
  <si>
    <t>FY2026</t>
  </si>
  <si>
    <t>Metric</t>
  </si>
  <si>
    <t>Value</t>
  </si>
  <si>
    <t>As of</t>
  </si>
  <si>
    <t>Revenue</t>
  </si>
  <si>
    <t>Capital Adequacy Ratio (CAR)</t>
  </si>
  <si>
    <t>16.84%</t>
  </si>
  <si>
    <t>Q1 FY27 (Jun-2026)</t>
  </si>
  <si>
    <t>Interest Expense</t>
  </si>
  <si>
    <t>Net Interest Margin (NIM)</t>
  </si>
  <si>
    <t>4.36%</t>
  </si>
  <si>
    <t>Net Interest Income (NII)</t>
  </si>
  <si>
    <t>Gross NPA %</t>
  </si>
  <si>
    <t>1.53%</t>
  </si>
  <si>
    <t>Q3 FY26 (Dec-2025)</t>
  </si>
  <si>
    <t>Operating Expenses</t>
  </si>
  <si>
    <t>Net NPA %</t>
  </si>
  <si>
    <t>0.35%</t>
  </si>
  <si>
    <t>Financing Profit</t>
  </si>
  <si>
    <t>CASA Ratio</t>
  </si>
  <si>
    <t>39%</t>
  </si>
  <si>
    <t>Other Income</t>
  </si>
  <si>
    <t>Return on Equity (ROE)</t>
  </si>
  <si>
    <t>15.9%</t>
  </si>
  <si>
    <t>TTM</t>
  </si>
  <si>
    <t>Pre-Provision Operating Profit (PPOP)</t>
  </si>
  <si>
    <t>Return on Capital Employed (ROCE)</t>
  </si>
  <si>
    <t>7.18%</t>
  </si>
  <si>
    <t>Depreciation</t>
  </si>
  <si>
    <t>Stock P/E</t>
  </si>
  <si>
    <t>17.6x</t>
  </si>
  <si>
    <t>Current</t>
  </si>
  <si>
    <t>Profit Before Tax</t>
  </si>
  <si>
    <t>Book Value / Share</t>
  </si>
  <si>
    <t>₹527</t>
  </si>
  <si>
    <t>Tax</t>
  </si>
  <si>
    <t>Market Capitalisation</t>
  </si>
  <si>
    <t>₹9,90,020 Cr</t>
  </si>
  <si>
    <t>Minority Interest (NCI share)</t>
  </si>
  <si>
    <t>Dividend Yield</t>
  </si>
  <si>
    <t>0.87%</t>
  </si>
  <si>
    <t>Net Profit (attributable to shareholders)</t>
  </si>
  <si>
    <t>Advances (gross, standalone)</t>
  </si>
  <si>
    <t>₹16,31,260 Cr (+19.6% YoY)</t>
  </si>
  <si>
    <t>Equity Shares (Cr)</t>
  </si>
  <si>
    <t>EPS (₹)</t>
  </si>
  <si>
    <t>Dividend Payout (%)</t>
  </si>
  <si>
    <t>BALANCE SHEET</t>
  </si>
  <si>
    <t>Equity Capital</t>
  </si>
  <si>
    <t>Reserves</t>
  </si>
  <si>
    <t>Deposits</t>
  </si>
  <si>
    <t>Borrowings</t>
  </si>
  <si>
    <t>Other Liabilities</t>
  </si>
  <si>
    <t>Total Liabilities</t>
  </si>
  <si>
    <t>Fixed Assets (Net Block)</t>
  </si>
  <si>
    <t>Investments</t>
  </si>
  <si>
    <t>Other Assets (incl. advances)</t>
  </si>
  <si>
    <t>Total Assets</t>
  </si>
  <si>
    <t>CASH FLOW</t>
  </si>
  <si>
    <t>Cash from Operating Activity</t>
  </si>
  <si>
    <t>Cash from Investing Activity</t>
  </si>
  <si>
    <t>Cash from Financing Activity</t>
  </si>
  <si>
    <t>Net Cash Flow</t>
  </si>
  <si>
    <t>FORECAST ASSUMPTIONS &amp; SCENARIO DRIVERS (FY2026-27E–FY2030-31E)</t>
  </si>
  <si>
    <t>Active scenario (set on Dashboard tab) →</t>
  </si>
  <si>
    <t>BASE CASE  (most likely — in line with consensus)</t>
  </si>
  <si>
    <t>Driver</t>
  </si>
  <si>
    <t>Revenue growth %</t>
  </si>
  <si>
    <t>Interest Expense growth %</t>
  </si>
  <si>
    <t>Operating Expense growth %</t>
  </si>
  <si>
    <t>Other Income growth %</t>
  </si>
  <si>
    <t>Depreciation growth %</t>
  </si>
  <si>
    <t>Effective Tax Rate %</t>
  </si>
  <si>
    <t>Minority Interest (% of PBT)</t>
  </si>
  <si>
    <t>Dividend Payout %</t>
  </si>
  <si>
    <t>BULL CASE  (credit up-cycle sustained, benign asset quality)</t>
  </si>
  <si>
    <t>BEAR CASE  (systemic slowdown, NIM &amp; asset-quality pressure)</t>
  </si>
  <si>
    <t>ICICI BANK LTD (CONSOLIDATED) — REVENUE, EXPENDITURE &amp; PROFITABILITY FORECAST</t>
  </si>
  <si>
    <t xml:space="preserve">  YoY growth % (memo)</t>
  </si>
  <si>
    <t xml:space="preserve">  PPOP Margin % (memo, bank-EBITDA equivalent)</t>
  </si>
  <si>
    <t xml:space="preserve">  Cost-to-Income % (memo)</t>
  </si>
  <si>
    <t>Profit Before Tax (PBT)</t>
  </si>
  <si>
    <t xml:space="preserve">  PBT Margin % (memo)</t>
  </si>
  <si>
    <t xml:space="preserve">  Net Margin % (memo)</t>
  </si>
  <si>
    <t>Shares Outstanding (Cr, held flat at FY25-26 actual)</t>
  </si>
  <si>
    <t>SCENARIO ANALYSIS — BASE vs BULL vs BEAR (FY2026-27E–FY2030-31E)</t>
  </si>
  <si>
    <t>BASE CASE</t>
  </si>
  <si>
    <t>PPOP (bank-EBITDA equiv.)</t>
  </si>
  <si>
    <t>Minority Interest</t>
  </si>
  <si>
    <t>Net Profit (attributable)</t>
  </si>
  <si>
    <t>BULL CASE</t>
  </si>
  <si>
    <t>BEAR CASE</t>
  </si>
  <si>
    <t>FY2030-31E SUMMARY — SIDE-BY-SIDE COMPARISON</t>
  </si>
  <si>
    <t>Base Case</t>
  </si>
  <si>
    <t>Bull Case</t>
  </si>
  <si>
    <t>Bear Case</t>
  </si>
  <si>
    <t>PPOP (₹ Cr)</t>
  </si>
  <si>
    <t>Net Margin % (FY2030-31E)</t>
  </si>
  <si>
    <t>Net Profit CAGR, FY25-26 to FY30-31E</t>
  </si>
  <si>
    <t>MANAGEMENT RECOMMENDATION</t>
  </si>
  <si>
    <t>1. Headline (auto-updates with the Dashboard scenario selector)</t>
  </si>
  <si>
    <t>2. What is driving this</t>
  </si>
  <si>
    <t>• Loan growth is the single biggest swing factor: FY26-31E Revenue CAGR ranges from ~8% (Bear) to ~17% (Bull) purely off the credit-growth assumption — the model is far more sensitive to loan-book growth than to any other single lever.</t>
  </si>
  <si>
    <t>• Cost-to-income discipline compounds materially over 5 years: a ~3-4pp gap between Base and Bull opex-growth assumptions is worth several percentage points of Net Margin by FY30-31E.</t>
  </si>
  <si>
    <t>• Minority interest (~4-5% of PBT, from insurance and AMC subsidiaries) is a small but real drag on attributable profit that is easy to overlook if modelling off PBT alone — it is explicitly broken out in this workbook.</t>
  </si>
  <si>
    <t>• Fee &amp; other income growth (assumed 12.5-17% CAGR range across scenarios) is the second-largest driver of profitability upside, consistent with management's stated focus on strengthening the fee-income mix.</t>
  </si>
  <si>
    <t>3. Recommended management actions</t>
  </si>
  <si>
    <t>• Protect the NIM: keep a disciplined mix of retail/SME/corporate loan growth so margin does not erode as the loan book scales; FCNR(B) deposit mobilisation should be sized so its dilutive NIM impact stays within the Base-case envelope.</t>
  </si>
  <si>
    <t>• Keep pushing the cost-to-income ratio down: the Bull-vs-Base gap is worth real money by FY30-31E — continue the digital/self-service opex leverage that has driven the FY24-26 improvement.</t>
  </si>
  <si>
    <t>• Diversify fee income further (distribution, transaction banking, cards) so Other Income growth does not depend solely on a benign credit cycle.</t>
  </si>
  <si>
    <t>• Hold credit costs and provisioning discipline even in a loan-growth upcycle — the Bear case shows how quickly Net Profit CAGR can invert (to roughly flat-to-negative) if growth slows AND provisioning normalises at the same time.</t>
  </si>
  <si>
    <t>• Treat the Bear case as the monitoring trigger, not a tail-risk to ignore: track systemic credit growth (currently guided to moderate toward ~14% in FY27) as the single best early-warning indicator for this plan.</t>
  </si>
  <si>
    <t>4. Key risks to monitor</t>
  </si>
  <si>
    <t>• Systemic credit growth moderation (sell-side sees system-wide growth slowing toward ~14% in FY27) could pull Revenue growth toward the Base/Bear range even if ICICI Bank continues to outgrow peers.</t>
  </si>
  <si>
    <t>• NIM compression from rising cost of funds (wholesale/FCNR mobilisation, deposit repricing) is a live, management-flagged risk for FY27.</t>
  </si>
  <si>
    <t>• Asset-quality normalisation: Net NPA is currently very low (0.35%) — the Bear case assumes some reversion, which is the main driver of its much lower profitability path.</t>
  </si>
  <si>
    <t>• Minority-interest share of PBT could rise if subsidiaries (insurance, AMC) grow faster than the bank itself, modestly diluting attributable profit growth versus consolidated PBT growth.</t>
  </si>
  <si>
    <r>
      <t xml:space="preserve">ICICI Bank is an Indian multinational private bank and financial services company headquartered in Mumbai. It was established in 1955 at the initiative of the World Bank, the Government of India, and representatives of Indian industry. It offers services to corporate and retail customers, and has subsidiaries in investment banking, life and non-life insurance, venture capital, and asset management.
</t>
    </r>
    <r>
      <rPr>
        <b/>
        <sz val="11"/>
        <color theme="1"/>
        <rFont val="Calibri"/>
        <family val="2"/>
      </rPr>
      <t>Headquarters</t>
    </r>
    <r>
      <rPr>
        <sz val="11"/>
        <color theme="1"/>
        <rFont val="Calibri"/>
        <family val="2"/>
        <charset val="1"/>
      </rPr>
      <t xml:space="preserve">: Mumbai, Maharashtra
</t>
    </r>
    <r>
      <rPr>
        <b/>
        <sz val="11"/>
        <color theme="1"/>
        <rFont val="Calibri"/>
        <family val="2"/>
      </rPr>
      <t>Key Subsidiaries</t>
    </r>
    <r>
      <rPr>
        <sz val="11"/>
        <color theme="1"/>
        <rFont val="Calibri"/>
        <family val="2"/>
        <charset val="1"/>
      </rPr>
      <t xml:space="preserve">: ICICI Prudential (Life Insurance &amp; Asset Management), ICICI Lombard (General Insurance), ICICI Securities / ICICI Direct (Broking &amp; Investment)
</t>
    </r>
    <r>
      <rPr>
        <b/>
        <sz val="11"/>
        <color theme="1"/>
        <rFont val="Calibri"/>
        <family val="2"/>
      </rPr>
      <t>Network</t>
    </r>
    <r>
      <rPr>
        <sz val="11"/>
        <color theme="1"/>
        <rFont val="Calibri"/>
        <family val="2"/>
        <charset val="1"/>
      </rPr>
      <t xml:space="preserve">: ~7,500 branches and 12,000+ ATMs/CRMs across India; banking presence in 19 countries
</t>
    </r>
    <r>
      <rPr>
        <b/>
        <sz val="11"/>
        <color theme="1"/>
        <rFont val="Calibri"/>
        <family val="2"/>
      </rPr>
      <t>Rank:</t>
    </r>
    <r>
      <rPr>
        <sz val="11"/>
        <color theme="1"/>
        <rFont val="Calibri"/>
        <family val="2"/>
        <charset val="1"/>
      </rPr>
      <t xml:space="preserve"> 2nd-largest private sector bank in India (after HDFC Bank); 214th globally</t>
    </r>
  </si>
  <si>
    <t>Bull</t>
  </si>
  <si>
    <t>ACTIVE ASSUMPTIONS  (auto-selected per Dashboard scenario selector)</t>
  </si>
  <si>
    <t>SCENARIO SELECTOR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</si>
</sst>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5" x14ac:knownFonts="1">
    <font>
      <sz val="11"/>
      <color theme="1"/>
      <name val="Calibri"/>
      <family val="2"/>
      <charset val="1"/>
    </font>
    <font>
      <b/>
      <sz val="16"/>
      <color rgb="FF1F3864"/>
      <name val="Arial"/>
      <family val="2"/>
      <charset val="1"/>
    </font>
    <font>
      <b/>
      <sz val="11"/>
      <color rgb="FFFFFFFF"/>
      <name val="Arial"/>
      <charset val="1"/>
    </font>
    <font>
      <b/>
      <sz val="22"/>
      <color theme="7" tint="-0.499984740745262"/>
      <name val="Arial"/>
      <family val="2"/>
      <charset val="1"/>
    </font>
    <font>
      <b/>
      <sz val="9"/>
      <color rgb="FF1F3864"/>
      <name val="Arial"/>
      <charset val="1"/>
    </font>
    <font>
      <b/>
      <sz val="16"/>
      <color rgb="FF000000"/>
      <name val="Arial"/>
      <charset val="1"/>
    </font>
    <font>
      <b/>
      <i/>
      <sz val="11"/>
      <color rgb="FF1F3864"/>
      <name val="Arial"/>
      <charset val="1"/>
    </font>
    <font>
      <b/>
      <sz val="10"/>
      <color rgb="FF000000"/>
      <name val="Arial"/>
      <charset val="1"/>
    </font>
    <font>
      <sz val="10"/>
      <color rgb="FF000000"/>
      <name val="Arial"/>
      <charset val="1"/>
    </font>
    <font>
      <b/>
      <sz val="14"/>
      <color rgb="FF1F3864"/>
      <name val="Cambria"/>
      <charset val="1"/>
    </font>
    <font>
      <b/>
      <sz val="12"/>
      <color rgb="FFFFFFFF"/>
      <name val="Cambria"/>
      <charset val="1"/>
    </font>
    <font>
      <b/>
      <sz val="11"/>
      <name val="Cambria"/>
      <charset val="1"/>
    </font>
    <font>
      <b/>
      <sz val="11"/>
      <color rgb="FF000000"/>
      <name val="Cambria"/>
      <charset val="1"/>
    </font>
    <font>
      <sz val="11"/>
      <color rgb="FF000000"/>
      <name val="Cambria"/>
      <charset val="1"/>
    </font>
    <font>
      <b/>
      <sz val="11"/>
      <color rgb="FF0000FF"/>
      <name val="Cambria"/>
      <charset val="1"/>
    </font>
    <font>
      <sz val="11"/>
      <color rgb="FF595959"/>
      <name val="Cambria"/>
      <charset val="1"/>
    </font>
    <font>
      <b/>
      <sz val="13"/>
      <color rgb="FF1F3864"/>
      <name val="Arial"/>
      <charset val="1"/>
    </font>
    <font>
      <b/>
      <sz val="12"/>
      <color rgb="FFC00000"/>
      <name val="Arial"/>
      <charset val="1"/>
    </font>
    <font>
      <i/>
      <sz val="9"/>
      <color rgb="FF595959"/>
      <name val="Arial"/>
      <charset val="1"/>
    </font>
    <font>
      <b/>
      <sz val="10"/>
      <color rgb="FF0000FF"/>
      <name val="Arial"/>
      <charset val="1"/>
    </font>
    <font>
      <b/>
      <i/>
      <sz val="10"/>
      <color rgb="FFC00000"/>
      <name val="Arial"/>
      <charset val="1"/>
    </font>
    <font>
      <i/>
      <sz val="9"/>
      <color rgb="FF008000"/>
      <name val="Arial"/>
      <charset val="1"/>
    </font>
    <font>
      <b/>
      <sz val="16"/>
      <color rgb="FF1F3864"/>
      <name val="Arial"/>
      <charset val="1"/>
    </font>
    <font>
      <b/>
      <sz val="11"/>
      <color theme="1"/>
      <name val="Calibri"/>
      <family val="2"/>
    </font>
    <font>
      <b/>
      <sz val="11"/>
      <color rgb="FFFFFFFF"/>
      <name val="Arial"/>
      <family val="2"/>
    </font>
  </fonts>
  <fills count="13">
    <fill>
      <patternFill patternType="none"/>
    </fill>
    <fill>
      <patternFill patternType="gray125"/>
    </fill>
    <fill>
      <patternFill patternType="solid">
        <fgColor rgb="FF1F3864"/>
        <bgColor rgb="FF403152"/>
      </patternFill>
    </fill>
    <fill>
      <patternFill patternType="solid">
        <fgColor rgb="FFFFFF00"/>
        <bgColor rgb="FFFFFF00"/>
      </patternFill>
    </fill>
    <fill>
      <patternFill patternType="solid">
        <fgColor rgb="FFD9E1F2"/>
        <bgColor rgb="FFDDEBF7"/>
      </patternFill>
    </fill>
    <fill>
      <patternFill patternType="solid">
        <fgColor rgb="FFDDEBF7"/>
        <bgColor rgb="FFD9E1F2"/>
      </patternFill>
    </fill>
    <fill>
      <patternFill patternType="solid">
        <fgColor rgb="FFE2EFDA"/>
        <bgColor rgb="FFDDEBF7"/>
      </patternFill>
    </fill>
    <fill>
      <patternFill patternType="solid">
        <fgColor rgb="FFFFF2CC"/>
        <bgColor rgb="FFF2F2F2"/>
      </patternFill>
    </fill>
    <fill>
      <patternFill patternType="solid">
        <fgColor rgb="FFF8CBAD"/>
        <bgColor rgb="FFD9D9D9"/>
      </patternFill>
    </fill>
    <fill>
      <patternFill patternType="solid">
        <fgColor rgb="FF548235"/>
        <bgColor rgb="FF595959"/>
      </patternFill>
    </fill>
    <fill>
      <patternFill patternType="solid">
        <fgColor rgb="FFC6E0B4"/>
        <bgColor rgb="FFD9D9D9"/>
      </patternFill>
    </fill>
    <fill>
      <patternFill patternType="solid">
        <fgColor rgb="FFF2F2F2"/>
        <bgColor rgb="FFF9F9F9"/>
      </patternFill>
    </fill>
    <fill>
      <patternFill patternType="solid">
        <fgColor rgb="FFBF8F00"/>
        <bgColor rgb="FFFF6600"/>
      </patternFill>
    </fill>
  </fills>
  <borders count="5">
    <border>
      <left/>
      <right/>
      <top/>
      <bottom/>
      <diagonal/>
    </border>
    <border>
      <left style="medium">
        <color auto="1"/>
      </left>
      <right/>
      <top style="medium">
        <color auto="1"/>
      </top>
      <bottom/>
      <diagonal/>
    </border>
    <border>
      <left style="thin">
        <color auto="1"/>
      </left>
      <right/>
      <top style="thin">
        <color auto="1"/>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auto="1"/>
      </top>
      <bottom style="double">
        <color auto="1"/>
      </bottom>
      <diagonal/>
    </border>
  </borders>
  <cellStyleXfs count="1">
    <xf numFmtId="0" fontId="0" fillId="0" borderId="0"/>
  </cellStyleXfs>
  <cellXfs count="63">
    <xf numFmtId="0" fontId="0" fillId="0" borderId="0" xfId="0"/>
    <xf numFmtId="0" fontId="9" fillId="0" borderId="0" xfId="0" applyFont="1" applyAlignment="1">
      <alignment horizontal="left" vertical="center"/>
    </xf>
    <xf numFmtId="0" fontId="6" fillId="0" borderId="0" xfId="0" applyFont="1" applyAlignment="1">
      <alignment vertical="center" wrapText="1"/>
    </xf>
    <xf numFmtId="164" fontId="5" fillId="8" borderId="2" xfId="0" applyNumberFormat="1" applyFont="1" applyFill="1" applyBorder="1" applyAlignment="1">
      <alignment horizontal="center" vertical="center"/>
    </xf>
    <xf numFmtId="164" fontId="5" fillId="7" borderId="2" xfId="0" applyNumberFormat="1" applyFont="1" applyFill="1" applyBorder="1" applyAlignment="1">
      <alignment horizontal="center" vertical="center"/>
    </xf>
    <xf numFmtId="3" fontId="5" fillId="6" borderId="2" xfId="0" applyNumberFormat="1" applyFont="1" applyFill="1" applyBorder="1" applyAlignment="1">
      <alignment horizontal="center" vertical="center"/>
    </xf>
    <xf numFmtId="3" fontId="5" fillId="5" borderId="2" xfId="0" applyNumberFormat="1" applyFont="1" applyFill="1" applyBorder="1" applyAlignment="1">
      <alignment horizontal="center" vertical="center"/>
    </xf>
    <xf numFmtId="0" fontId="4" fillId="4" borderId="0" xfId="0" applyFont="1" applyFill="1" applyAlignment="1">
      <alignment horizontal="center" vertical="center" wrapText="1"/>
    </xf>
    <xf numFmtId="0" fontId="2" fillId="2" borderId="0" xfId="0" applyFont="1" applyFill="1" applyAlignment="1">
      <alignment horizontal="left" vertical="center" wrapText="1"/>
    </xf>
    <xf numFmtId="0" fontId="3" fillId="3" borderId="1" xfId="0" applyFont="1" applyFill="1" applyBorder="1" applyAlignment="1">
      <alignment horizontal="center" vertical="center"/>
    </xf>
    <xf numFmtId="0" fontId="2" fillId="2" borderId="0" xfId="0" applyFont="1" applyFill="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vertical="top" wrapText="1"/>
    </xf>
    <xf numFmtId="0" fontId="6" fillId="0" borderId="0" xfId="0" applyFont="1" applyAlignment="1">
      <alignment vertical="top" wrapText="1"/>
    </xf>
    <xf numFmtId="0" fontId="7" fillId="4" borderId="0" xfId="0" applyFont="1" applyFill="1" applyAlignment="1">
      <alignment horizontal="left" vertical="center" wrapText="1"/>
    </xf>
    <xf numFmtId="0" fontId="7" fillId="4" borderId="0" xfId="0" applyFont="1" applyFill="1" applyAlignment="1">
      <alignment horizontal="center" vertical="center" wrapText="1"/>
    </xf>
    <xf numFmtId="0" fontId="8" fillId="0" borderId="0" xfId="0" applyFont="1" applyAlignment="1">
      <alignment horizontal="left" vertical="center" wrapText="1"/>
    </xf>
    <xf numFmtId="3" fontId="8" fillId="0" borderId="0" xfId="0" applyNumberFormat="1" applyFont="1"/>
    <xf numFmtId="164" fontId="8" fillId="0" borderId="0" xfId="0" applyNumberFormat="1" applyFont="1"/>
    <xf numFmtId="0" fontId="11" fillId="0" borderId="0" xfId="0" applyFont="1"/>
    <xf numFmtId="0" fontId="12" fillId="4" borderId="0" xfId="0" applyFont="1" applyFill="1"/>
    <xf numFmtId="0" fontId="12" fillId="4" borderId="0" xfId="0" applyFont="1" applyFill="1" applyAlignment="1">
      <alignment horizontal="center"/>
    </xf>
    <xf numFmtId="0" fontId="12" fillId="0" borderId="0" xfId="0" applyFont="1"/>
    <xf numFmtId="3" fontId="12" fillId="0" borderId="3" xfId="0" applyNumberFormat="1" applyFont="1" applyBorder="1"/>
    <xf numFmtId="0" fontId="13" fillId="0" borderId="0" xfId="0" applyFont="1"/>
    <xf numFmtId="0" fontId="14" fillId="0" borderId="0" xfId="0" applyFont="1"/>
    <xf numFmtId="0" fontId="15" fillId="0" borderId="0" xfId="0" applyFont="1"/>
    <xf numFmtId="4" fontId="12" fillId="0" borderId="3" xfId="0" applyNumberFormat="1" applyFont="1" applyBorder="1"/>
    <xf numFmtId="164" fontId="12" fillId="0" borderId="3" xfId="0" applyNumberFormat="1" applyFont="1" applyBorder="1"/>
    <xf numFmtId="3" fontId="12" fillId="0" borderId="4" xfId="0" applyNumberFormat="1" applyFont="1" applyBorder="1"/>
    <xf numFmtId="165" fontId="12" fillId="0" borderId="3" xfId="0" applyNumberFormat="1" applyFont="1" applyBorder="1"/>
    <xf numFmtId="165" fontId="12" fillId="0" borderId="4" xfId="0" applyNumberFormat="1" applyFont="1" applyBorder="1"/>
    <xf numFmtId="0" fontId="7" fillId="0" borderId="0" xfId="0" applyFont="1" applyAlignment="1">
      <alignment horizontal="left" vertical="center" wrapText="1"/>
    </xf>
    <xf numFmtId="0" fontId="17" fillId="6" borderId="3" xfId="0" applyFont="1" applyFill="1" applyBorder="1" applyAlignment="1">
      <alignment horizontal="center"/>
    </xf>
    <xf numFmtId="0" fontId="18" fillId="0" borderId="0" xfId="0" applyFont="1" applyAlignment="1">
      <alignment horizontal="left" vertical="center" wrapText="1"/>
    </xf>
    <xf numFmtId="164" fontId="19" fillId="3" borderId="3" xfId="0" applyNumberFormat="1" applyFont="1" applyFill="1" applyBorder="1" applyAlignment="1">
      <alignment horizontal="right"/>
    </xf>
    <xf numFmtId="164" fontId="19" fillId="10" borderId="3" xfId="0" applyNumberFormat="1" applyFont="1" applyFill="1" applyBorder="1" applyAlignment="1">
      <alignment horizontal="right"/>
    </xf>
    <xf numFmtId="164" fontId="19" fillId="8" borderId="3" xfId="0" applyNumberFormat="1" applyFont="1" applyFill="1" applyBorder="1" applyAlignment="1">
      <alignment horizontal="right"/>
    </xf>
    <xf numFmtId="164" fontId="7" fillId="11" borderId="3" xfId="0" applyNumberFormat="1" applyFont="1" applyFill="1" applyBorder="1" applyAlignment="1">
      <alignment horizontal="right"/>
    </xf>
    <xf numFmtId="3" fontId="7" fillId="0" borderId="3" xfId="0" applyNumberFormat="1" applyFont="1" applyBorder="1" applyAlignment="1">
      <alignment horizontal="right"/>
    </xf>
    <xf numFmtId="164" fontId="18" fillId="0" borderId="0" xfId="0" applyNumberFormat="1" applyFont="1"/>
    <xf numFmtId="3" fontId="8" fillId="0" borderId="3" xfId="0" applyNumberFormat="1" applyFont="1" applyBorder="1" applyAlignment="1">
      <alignment horizontal="right"/>
    </xf>
    <xf numFmtId="3" fontId="7" fillId="11" borderId="3" xfId="0" applyNumberFormat="1" applyFont="1" applyFill="1" applyBorder="1" applyAlignment="1">
      <alignment horizontal="right"/>
    </xf>
    <xf numFmtId="3" fontId="7" fillId="6" borderId="3" xfId="0" applyNumberFormat="1" applyFont="1" applyFill="1" applyBorder="1" applyAlignment="1">
      <alignment horizontal="right"/>
    </xf>
    <xf numFmtId="2" fontId="21" fillId="0" borderId="0" xfId="0" applyNumberFormat="1" applyFont="1"/>
    <xf numFmtId="2" fontId="7" fillId="0" borderId="3" xfId="0" applyNumberFormat="1" applyFont="1" applyBorder="1" applyAlignment="1">
      <alignment horizontal="right"/>
    </xf>
    <xf numFmtId="3" fontId="7" fillId="7" borderId="3" xfId="0" applyNumberFormat="1" applyFont="1" applyFill="1" applyBorder="1" applyAlignment="1">
      <alignment horizontal="right"/>
    </xf>
    <xf numFmtId="3" fontId="7" fillId="10" borderId="3" xfId="0" applyNumberFormat="1" applyFont="1" applyFill="1" applyBorder="1" applyAlignment="1">
      <alignment horizontal="right"/>
    </xf>
    <xf numFmtId="3" fontId="7" fillId="8" borderId="3" xfId="0" applyNumberFormat="1" applyFont="1" applyFill="1" applyBorder="1" applyAlignment="1">
      <alignment horizontal="right"/>
    </xf>
    <xf numFmtId="3" fontId="7" fillId="0" borderId="3" xfId="0" applyNumberFormat="1" applyFont="1" applyBorder="1" applyAlignment="1">
      <alignment horizontal="center"/>
    </xf>
    <xf numFmtId="164" fontId="7" fillId="0" borderId="3" xfId="0" applyNumberFormat="1" applyFont="1" applyBorder="1" applyAlignment="1">
      <alignment horizontal="center"/>
    </xf>
    <xf numFmtId="0" fontId="22" fillId="0" borderId="0" xfId="0" applyFont="1" applyAlignment="1">
      <alignment horizontal="left" vertical="center" wrapText="1"/>
    </xf>
    <xf numFmtId="0" fontId="10" fillId="2" borderId="0" xfId="0" applyFont="1" applyFill="1"/>
    <xf numFmtId="0" fontId="11" fillId="0" borderId="0" xfId="0" applyFont="1"/>
    <xf numFmtId="0" fontId="0" fillId="0" borderId="0" xfId="0" applyAlignment="1">
      <alignment horizontal="left" vertical="top" wrapText="1"/>
    </xf>
    <xf numFmtId="0" fontId="16" fillId="0" borderId="0" xfId="0" applyFont="1" applyAlignment="1">
      <alignment horizontal="left" vertical="center" wrapText="1"/>
    </xf>
    <xf numFmtId="0" fontId="7" fillId="0" borderId="0" xfId="0" applyFont="1" applyAlignment="1">
      <alignment horizontal="left" vertical="center" wrapText="1"/>
    </xf>
    <xf numFmtId="0" fontId="20" fillId="0" borderId="0" xfId="0" applyFont="1"/>
    <xf numFmtId="0" fontId="2" fillId="12" borderId="0" xfId="0" applyFont="1" applyFill="1" applyAlignment="1">
      <alignment horizontal="left" vertical="center" wrapText="1"/>
    </xf>
    <xf numFmtId="0" fontId="2" fillId="9" borderId="0" xfId="0" applyFont="1" applyFill="1" applyAlignment="1">
      <alignment horizontal="center" vertical="center" wrapText="1"/>
    </xf>
    <xf numFmtId="0" fontId="24" fillId="2" borderId="0" xfId="0" applyFont="1" applyFill="1" applyAlignment="1">
      <alignment horizontal="center" vertical="center" wrapText="1"/>
    </xf>
    <xf numFmtId="0" fontId="14" fillId="0" borderId="0" xfId="0" applyFont="1" applyAlignment="1">
      <alignment horizontal="center"/>
    </xf>
    <xf numFmtId="0" fontId="1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AA433F"/>
      <rgbColor rgb="FFFFF2CC"/>
      <rgbColor rgb="FFDDEBF7"/>
      <rgbColor rgb="FF660066"/>
      <rgbColor rgb="FFCC8F8E"/>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9F9F9"/>
      <rgbColor rgb="FFC6E0B4"/>
      <rgbColor rgb="FFFF99CC"/>
      <rgbColor rgb="FFD9E1F2"/>
      <rgbColor rgb="FFF8CBAD"/>
      <rgbColor rgb="FF2E75B6"/>
      <rgbColor rgb="FF33CCCC"/>
      <rgbColor rgb="FF9BBB59"/>
      <rgbColor rgb="FFFFCC00"/>
      <rgbColor rgb="FFBF8F00"/>
      <rgbColor rgb="FFFF6600"/>
      <rgbColor rgb="FF595959"/>
      <rgbColor rgb="FF878787"/>
      <rgbColor rgb="FF1F3864"/>
      <rgbColor rgb="FF4F81BD"/>
      <rgbColor rgb="FF003300"/>
      <rgbColor rgb="FF333300"/>
      <rgbColor rgb="FFC0504D"/>
      <rgbColor rgb="FF7030A0"/>
      <rgbColor rgb="FF333399"/>
      <rgbColor rgb="FF4031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Revenue — Actual (FY2022-23 to FY25-26) + Forecast (FY26-27E to FY30-31E)</a:t>
            </a:r>
          </a:p>
        </c:rich>
      </c:tx>
      <c:overlay val="0"/>
      <c:spPr>
        <a:noFill/>
        <a:ln w="0">
          <a:noFill/>
        </a:ln>
      </c:spPr>
    </c:title>
    <c:autoTitleDeleted val="0"/>
    <c:plotArea>
      <c:layout/>
      <c:barChart>
        <c:barDir val="col"/>
        <c:grouping val="clustered"/>
        <c:varyColors val="0"/>
        <c:ser>
          <c:idx val="0"/>
          <c:order val="0"/>
          <c:tx>
            <c:strRef>
              <c:f>Dashboard!$A$16</c:f>
              <c:strCache>
                <c:ptCount val="1"/>
                <c:pt idx="0">
                  <c:v>Revenue (₹ Cr)</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Dashboard!$B$16:$J$16</c:f>
              <c:numCache>
                <c:formatCode>#,##0</c:formatCode>
                <c:ptCount val="9"/>
                <c:pt idx="0">
                  <c:v>121067</c:v>
                </c:pt>
                <c:pt idx="1">
                  <c:v>159516</c:v>
                </c:pt>
                <c:pt idx="2">
                  <c:v>186331</c:v>
                </c:pt>
                <c:pt idx="3">
                  <c:v>195218</c:v>
                </c:pt>
                <c:pt idx="4">
                  <c:v>232309.41999999998</c:v>
                </c:pt>
                <c:pt idx="5">
                  <c:v>275286.66269999999</c:v>
                </c:pt>
                <c:pt idx="6">
                  <c:v>324838.26198599994</c:v>
                </c:pt>
                <c:pt idx="7">
                  <c:v>381684.95783354994</c:v>
                </c:pt>
                <c:pt idx="8">
                  <c:v>446571.4006652534</c:v>
                </c:pt>
              </c:numCache>
            </c:numRef>
          </c:cat>
          <c:val>
            <c:numRef>
              <c:f>Dashboard!$B$16:$J$16</c:f>
              <c:numCache>
                <c:formatCode>#,##0</c:formatCode>
                <c:ptCount val="9"/>
                <c:pt idx="0">
                  <c:v>121067</c:v>
                </c:pt>
                <c:pt idx="1">
                  <c:v>159516</c:v>
                </c:pt>
                <c:pt idx="2">
                  <c:v>186331</c:v>
                </c:pt>
                <c:pt idx="3">
                  <c:v>195218</c:v>
                </c:pt>
                <c:pt idx="4">
                  <c:v>232309.41999999998</c:v>
                </c:pt>
                <c:pt idx="5">
                  <c:v>275286.66269999999</c:v>
                </c:pt>
                <c:pt idx="6">
                  <c:v>324838.26198599994</c:v>
                </c:pt>
                <c:pt idx="7">
                  <c:v>381684.95783354994</c:v>
                </c:pt>
                <c:pt idx="8">
                  <c:v>446571.4006652534</c:v>
                </c:pt>
              </c:numCache>
            </c:numRef>
          </c:val>
          <c:extLst>
            <c:ext xmlns:c16="http://schemas.microsoft.com/office/drawing/2014/chart" uri="{C3380CC4-5D6E-409C-BE32-E72D297353CC}">
              <c16:uniqueId val="{00000000-6DCC-4BA4-95B1-34F3A8A05A89}"/>
            </c:ext>
          </c:extLst>
        </c:ser>
        <c:dLbls>
          <c:showLegendKey val="0"/>
          <c:showVal val="0"/>
          <c:showCatName val="0"/>
          <c:showSerName val="0"/>
          <c:showPercent val="0"/>
          <c:showBubbleSize val="0"/>
        </c:dLbls>
        <c:gapWidth val="150"/>
        <c:axId val="26544500"/>
        <c:axId val="52578129"/>
      </c:barChart>
      <c:catAx>
        <c:axId val="2654450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578129"/>
        <c:crosses val="autoZero"/>
        <c:auto val="1"/>
        <c:lblAlgn val="ctr"/>
        <c:lblOffset val="100"/>
        <c:noMultiLvlLbl val="0"/>
      </c:catAx>
      <c:valAx>
        <c:axId val="52578129"/>
        <c:scaling>
          <c:orientation val="minMax"/>
        </c:scaling>
        <c:delete val="0"/>
        <c:axPos val="l"/>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 Crore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5445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Net Profit (attributable) — Actual + Forecast</a:t>
            </a:r>
          </a:p>
        </c:rich>
      </c:tx>
      <c:overlay val="0"/>
      <c:spPr>
        <a:noFill/>
        <a:ln w="0">
          <a:noFill/>
        </a:ln>
      </c:spPr>
    </c:title>
    <c:autoTitleDeleted val="0"/>
    <c:plotArea>
      <c:layout/>
      <c:barChart>
        <c:barDir val="col"/>
        <c:grouping val="clustered"/>
        <c:varyColors val="0"/>
        <c:ser>
          <c:idx val="0"/>
          <c:order val="0"/>
          <c:tx>
            <c:strRef>
              <c:f>Dashboard!$A$17</c:f>
              <c:strCache>
                <c:ptCount val="1"/>
                <c:pt idx="0">
                  <c:v>Net Profit (₹ Cr)</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Dashboard!$B$16:$J$16</c:f>
              <c:numCache>
                <c:formatCode>#,##0</c:formatCode>
                <c:ptCount val="9"/>
                <c:pt idx="0">
                  <c:v>121067</c:v>
                </c:pt>
                <c:pt idx="1">
                  <c:v>159516</c:v>
                </c:pt>
                <c:pt idx="2">
                  <c:v>186331</c:v>
                </c:pt>
                <c:pt idx="3">
                  <c:v>195218</c:v>
                </c:pt>
                <c:pt idx="4">
                  <c:v>232309.41999999998</c:v>
                </c:pt>
                <c:pt idx="5">
                  <c:v>275286.66269999999</c:v>
                </c:pt>
                <c:pt idx="6">
                  <c:v>324838.26198599994</c:v>
                </c:pt>
                <c:pt idx="7">
                  <c:v>381684.95783354994</c:v>
                </c:pt>
                <c:pt idx="8">
                  <c:v>446571.4006652534</c:v>
                </c:pt>
              </c:numCache>
            </c:numRef>
          </c:cat>
          <c:val>
            <c:numRef>
              <c:f>Dashboard!$B$17:$J$17</c:f>
              <c:numCache>
                <c:formatCode>#,##0</c:formatCode>
                <c:ptCount val="9"/>
                <c:pt idx="0">
                  <c:v>34036.639999999999</c:v>
                </c:pt>
                <c:pt idx="1">
                  <c:v>44256.369999999995</c:v>
                </c:pt>
                <c:pt idx="2">
                  <c:v>51029.2</c:v>
                </c:pt>
                <c:pt idx="3">
                  <c:v>54207.7</c:v>
                </c:pt>
                <c:pt idx="4">
                  <c:v>75037.252799999987</c:v>
                </c:pt>
                <c:pt idx="5">
                  <c:v>99978.318921999977</c:v>
                </c:pt>
                <c:pt idx="6">
                  <c:v>129722.20902559995</c:v>
                </c:pt>
                <c:pt idx="7">
                  <c:v>164749.38748887967</c:v>
                </c:pt>
                <c:pt idx="8">
                  <c:v>205517.26484643228</c:v>
                </c:pt>
              </c:numCache>
            </c:numRef>
          </c:val>
          <c:extLst>
            <c:ext xmlns:c16="http://schemas.microsoft.com/office/drawing/2014/chart" uri="{C3380CC4-5D6E-409C-BE32-E72D297353CC}">
              <c16:uniqueId val="{00000000-252A-4544-BAC5-F94B83F0E654}"/>
            </c:ext>
          </c:extLst>
        </c:ser>
        <c:dLbls>
          <c:showLegendKey val="0"/>
          <c:showVal val="0"/>
          <c:showCatName val="0"/>
          <c:showSerName val="0"/>
          <c:showPercent val="0"/>
          <c:showBubbleSize val="0"/>
        </c:dLbls>
        <c:gapWidth val="150"/>
        <c:axId val="38681522"/>
        <c:axId val="46085741"/>
      </c:barChart>
      <c:catAx>
        <c:axId val="3868152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085741"/>
        <c:crosses val="autoZero"/>
        <c:auto val="1"/>
        <c:lblAlgn val="ctr"/>
        <c:lblOffset val="100"/>
        <c:noMultiLvlLbl val="0"/>
      </c:catAx>
      <c:valAx>
        <c:axId val="46085741"/>
        <c:scaling>
          <c:orientation val="minMax"/>
        </c:scaling>
        <c:delete val="0"/>
        <c:axPos val="l"/>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 Crore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8152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Profitability Margin Trend — PPOP Margin vs Net Margin (%)</a:t>
            </a:r>
          </a:p>
        </c:rich>
      </c:tx>
      <c:overlay val="0"/>
      <c:spPr>
        <a:noFill/>
        <a:ln w="0">
          <a:noFill/>
        </a:ln>
      </c:spPr>
    </c:title>
    <c:autoTitleDeleted val="0"/>
    <c:plotArea>
      <c:layout/>
      <c:lineChart>
        <c:grouping val="standard"/>
        <c:varyColors val="0"/>
        <c:ser>
          <c:idx val="0"/>
          <c:order val="0"/>
          <c:tx>
            <c:strRef>
              <c:f>Dashboard!$A$18</c:f>
              <c:strCache>
                <c:ptCount val="1"/>
                <c:pt idx="0">
                  <c:v>PPOP Margin %</c:v>
                </c:pt>
              </c:strCache>
            </c:strRef>
          </c:tx>
          <c:spPr>
            <a:ln w="47520">
              <a:solidFill>
                <a:srgbClr val="AA433F"/>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Dashboard!$B$16:$J$16</c:f>
              <c:numCache>
                <c:formatCode>#,##0</c:formatCode>
                <c:ptCount val="9"/>
                <c:pt idx="0">
                  <c:v>121067</c:v>
                </c:pt>
                <c:pt idx="1">
                  <c:v>159516</c:v>
                </c:pt>
                <c:pt idx="2">
                  <c:v>186331</c:v>
                </c:pt>
                <c:pt idx="3">
                  <c:v>195218</c:v>
                </c:pt>
                <c:pt idx="4">
                  <c:v>232309.41999999998</c:v>
                </c:pt>
                <c:pt idx="5">
                  <c:v>275286.66269999999</c:v>
                </c:pt>
                <c:pt idx="6">
                  <c:v>324838.26198599994</c:v>
                </c:pt>
                <c:pt idx="7">
                  <c:v>381684.95783354994</c:v>
                </c:pt>
                <c:pt idx="8">
                  <c:v>446571.4006652534</c:v>
                </c:pt>
              </c:numCache>
            </c:numRef>
          </c:cat>
          <c:val>
            <c:numRef>
              <c:f>Dashboard!$B$18:$J$18</c:f>
              <c:numCache>
                <c:formatCode>0.0%</c:formatCode>
                <c:ptCount val="9"/>
                <c:pt idx="0">
                  <c:v>0.39459142458308211</c:v>
                </c:pt>
                <c:pt idx="1">
                  <c:v>0.39099526066350709</c:v>
                </c:pt>
                <c:pt idx="2">
                  <c:v>0.40508557352238755</c:v>
                </c:pt>
                <c:pt idx="3">
                  <c:v>0.41040272925652349</c:v>
                </c:pt>
                <c:pt idx="4">
                  <c:v>0.46881245711000435</c:v>
                </c:pt>
                <c:pt idx="5">
                  <c:v>0.52478808211437533</c:v>
                </c:pt>
                <c:pt idx="6">
                  <c:v>0.57520783122233565</c:v>
                </c:pt>
                <c:pt idx="7">
                  <c:v>0.62025838965408453</c:v>
                </c:pt>
                <c:pt idx="8">
                  <c:v>0.66015111535850324</c:v>
                </c:pt>
              </c:numCache>
            </c:numRef>
          </c:val>
          <c:smooth val="1"/>
          <c:extLst>
            <c:ext xmlns:c16="http://schemas.microsoft.com/office/drawing/2014/chart" uri="{C3380CC4-5D6E-409C-BE32-E72D297353CC}">
              <c16:uniqueId val="{00000000-2EB5-469C-BEB7-87FB6345DA49}"/>
            </c:ext>
          </c:extLst>
        </c:ser>
        <c:ser>
          <c:idx val="1"/>
          <c:order val="1"/>
          <c:tx>
            <c:strRef>
              <c:f>Dashboard!$A$19</c:f>
              <c:strCache>
                <c:ptCount val="1"/>
                <c:pt idx="0">
                  <c:v>Net Margin %</c:v>
                </c:pt>
              </c:strCache>
            </c:strRef>
          </c:tx>
          <c:spPr>
            <a:ln w="47520">
              <a:solidFill>
                <a:srgbClr val="CC8F8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Dashboard!$B$16:$J$16</c:f>
              <c:numCache>
                <c:formatCode>#,##0</c:formatCode>
                <c:ptCount val="9"/>
                <c:pt idx="0">
                  <c:v>121067</c:v>
                </c:pt>
                <c:pt idx="1">
                  <c:v>159516</c:v>
                </c:pt>
                <c:pt idx="2">
                  <c:v>186331</c:v>
                </c:pt>
                <c:pt idx="3">
                  <c:v>195218</c:v>
                </c:pt>
                <c:pt idx="4">
                  <c:v>232309.41999999998</c:v>
                </c:pt>
                <c:pt idx="5">
                  <c:v>275286.66269999999</c:v>
                </c:pt>
                <c:pt idx="6">
                  <c:v>324838.26198599994</c:v>
                </c:pt>
                <c:pt idx="7">
                  <c:v>381684.95783354994</c:v>
                </c:pt>
                <c:pt idx="8">
                  <c:v>446571.4006652534</c:v>
                </c:pt>
              </c:numCache>
            </c:numRef>
          </c:cat>
          <c:val>
            <c:numRef>
              <c:f>Dashboard!$B$19:$J$19</c:f>
              <c:numCache>
                <c:formatCode>0.0%</c:formatCode>
                <c:ptCount val="9"/>
                <c:pt idx="0">
                  <c:v>0.28113887351631739</c:v>
                </c:pt>
                <c:pt idx="1">
                  <c:v>0.27744157325910879</c:v>
                </c:pt>
                <c:pt idx="2">
                  <c:v>0.27386317896646289</c:v>
                </c:pt>
                <c:pt idx="3">
                  <c:v>0.27767777561495355</c:v>
                </c:pt>
                <c:pt idx="4">
                  <c:v>0.32300563963355422</c:v>
                </c:pt>
                <c:pt idx="5">
                  <c:v>0.36317894205776929</c:v>
                </c:pt>
                <c:pt idx="6">
                  <c:v>0.39934399424656075</c:v>
                </c:pt>
                <c:pt idx="7">
                  <c:v>0.43163709784110932</c:v>
                </c:pt>
                <c:pt idx="8">
                  <c:v>0.4602114343647512</c:v>
                </c:pt>
              </c:numCache>
            </c:numRef>
          </c:val>
          <c:smooth val="1"/>
          <c:extLst>
            <c:ext xmlns:c16="http://schemas.microsoft.com/office/drawing/2014/chart" uri="{C3380CC4-5D6E-409C-BE32-E72D297353CC}">
              <c16:uniqueId val="{00000001-2EB5-469C-BEB7-87FB6345DA49}"/>
            </c:ext>
          </c:extLst>
        </c:ser>
        <c:dLbls>
          <c:showLegendKey val="0"/>
          <c:showVal val="0"/>
          <c:showCatName val="0"/>
          <c:showSerName val="0"/>
          <c:showPercent val="0"/>
          <c:showBubbleSize val="0"/>
        </c:dLbls>
        <c:hiLowLines>
          <c:spPr>
            <a:ln w="0">
              <a:noFill/>
            </a:ln>
          </c:spPr>
        </c:hiLowLines>
        <c:smooth val="0"/>
        <c:axId val="99645396"/>
        <c:axId val="10070707"/>
      </c:lineChart>
      <c:catAx>
        <c:axId val="99645396"/>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070707"/>
        <c:crosses val="autoZero"/>
        <c:auto val="1"/>
        <c:lblAlgn val="ctr"/>
        <c:lblOffset val="100"/>
        <c:noMultiLvlLbl val="0"/>
      </c:catAx>
      <c:valAx>
        <c:axId val="10070707"/>
        <c:scaling>
          <c:orientation val="minMax"/>
        </c:scaling>
        <c:delete val="0"/>
        <c:axPos val="l"/>
        <c:numFmt formatCode="0.0%"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64539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Net Profit (attributable) by Scenario, FY2026-27E–FY2030-31E</a:t>
            </a:r>
          </a:p>
        </c:rich>
      </c:tx>
      <c:overlay val="0"/>
      <c:spPr>
        <a:noFill/>
        <a:ln w="0">
          <a:noFill/>
        </a:ln>
      </c:spPr>
    </c:title>
    <c:autoTitleDeleted val="0"/>
    <c:plotArea>
      <c:layout/>
      <c:barChart>
        <c:barDir val="col"/>
        <c:grouping val="clustered"/>
        <c:varyColors val="0"/>
        <c:ser>
          <c:idx val="0"/>
          <c:order val="0"/>
          <c:tx>
            <c:strRef>
              <c:f>'Scenario Analysis'!$A$15</c:f>
              <c:strCache>
                <c:ptCount val="1"/>
                <c:pt idx="0">
                  <c:v>Net Profit (attributable)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 Analysis'!$B$4:$F$4</c:f>
              <c:strCache>
                <c:ptCount val="5"/>
                <c:pt idx="0">
                  <c:v>FY2026-27</c:v>
                </c:pt>
                <c:pt idx="1">
                  <c:v>FY2027-28</c:v>
                </c:pt>
                <c:pt idx="2">
                  <c:v>FY2028-29</c:v>
                </c:pt>
                <c:pt idx="3">
                  <c:v>FY2029-30</c:v>
                </c:pt>
                <c:pt idx="4">
                  <c:v>FY2030-31</c:v>
                </c:pt>
              </c:strCache>
            </c:strRef>
          </c:cat>
          <c:val>
            <c:numRef>
              <c:f>'Scenario Analysis'!$B$15:$F$15</c:f>
              <c:numCache>
                <c:formatCode>#,##0</c:formatCode>
                <c:ptCount val="5"/>
                <c:pt idx="0">
                  <c:v>66141.059025000024</c:v>
                </c:pt>
                <c:pt idx="1">
                  <c:v>79980.76340175001</c:v>
                </c:pt>
                <c:pt idx="2">
                  <c:v>95948.506810428764</c:v>
                </c:pt>
                <c:pt idx="3">
                  <c:v>113780.48579924655</c:v>
                </c:pt>
                <c:pt idx="4">
                  <c:v>134001.57638839836</c:v>
                </c:pt>
              </c:numCache>
            </c:numRef>
          </c:val>
          <c:extLst>
            <c:ext xmlns:c16="http://schemas.microsoft.com/office/drawing/2014/chart" uri="{C3380CC4-5D6E-409C-BE32-E72D297353CC}">
              <c16:uniqueId val="{00000000-AD2F-470D-BEA7-2571E041C7D3}"/>
            </c:ext>
          </c:extLst>
        </c:ser>
        <c:ser>
          <c:idx val="1"/>
          <c:order val="1"/>
          <c:tx>
            <c:strRef>
              <c:f>'Scenario Analysis'!$H$15</c:f>
              <c:strCache>
                <c:ptCount val="1"/>
                <c:pt idx="0">
                  <c:v>Net Profit (attributable)</c:v>
                </c:pt>
              </c:strCache>
            </c:strRef>
          </c:tx>
          <c:spPr>
            <a:solidFill>
              <a:srgbClr val="C0504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 Analysis'!$B$4:$F$4</c:f>
              <c:strCache>
                <c:ptCount val="5"/>
                <c:pt idx="0">
                  <c:v>FY2026-27</c:v>
                </c:pt>
                <c:pt idx="1">
                  <c:v>FY2027-28</c:v>
                </c:pt>
                <c:pt idx="2">
                  <c:v>FY2028-29</c:v>
                </c:pt>
                <c:pt idx="3">
                  <c:v>FY2029-30</c:v>
                </c:pt>
                <c:pt idx="4">
                  <c:v>FY2030-31</c:v>
                </c:pt>
              </c:strCache>
            </c:strRef>
          </c:cat>
          <c:val>
            <c:numRef>
              <c:f>'Scenario Analysis'!$I$15:$M$15</c:f>
              <c:numCache>
                <c:formatCode>#,##0</c:formatCode>
                <c:ptCount val="5"/>
                <c:pt idx="0">
                  <c:v>75037.252799999987</c:v>
                </c:pt>
                <c:pt idx="1">
                  <c:v>99978.318921999977</c:v>
                </c:pt>
                <c:pt idx="2">
                  <c:v>129722.20902559995</c:v>
                </c:pt>
                <c:pt idx="3">
                  <c:v>164749.38748887967</c:v>
                </c:pt>
                <c:pt idx="4">
                  <c:v>205517.26484643228</c:v>
                </c:pt>
              </c:numCache>
            </c:numRef>
          </c:val>
          <c:extLst>
            <c:ext xmlns:c16="http://schemas.microsoft.com/office/drawing/2014/chart" uri="{C3380CC4-5D6E-409C-BE32-E72D297353CC}">
              <c16:uniqueId val="{00000001-AD2F-470D-BEA7-2571E041C7D3}"/>
            </c:ext>
          </c:extLst>
        </c:ser>
        <c:ser>
          <c:idx val="2"/>
          <c:order val="2"/>
          <c:tx>
            <c:strRef>
              <c:f>'Scenario Analysis'!$O$15</c:f>
              <c:strCache>
                <c:ptCount val="1"/>
                <c:pt idx="0">
                  <c:v>Net Profit (attributable)</c:v>
                </c:pt>
              </c:strCache>
            </c:strRef>
          </c:tx>
          <c:spPr>
            <a:solidFill>
              <a:srgbClr val="9BBB59"/>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 Analysis'!$B$4:$F$4</c:f>
              <c:strCache>
                <c:ptCount val="5"/>
                <c:pt idx="0">
                  <c:v>FY2026-27</c:v>
                </c:pt>
                <c:pt idx="1">
                  <c:v>FY2027-28</c:v>
                </c:pt>
                <c:pt idx="2">
                  <c:v>FY2028-29</c:v>
                </c:pt>
                <c:pt idx="3">
                  <c:v>FY2029-30</c:v>
                </c:pt>
                <c:pt idx="4">
                  <c:v>FY2030-31</c:v>
                </c:pt>
              </c:strCache>
            </c:strRef>
          </c:cat>
          <c:val>
            <c:numRef>
              <c:f>'Scenario Analysis'!$P$15:$T$15</c:f>
              <c:numCache>
                <c:formatCode>#,##0</c:formatCode>
                <c:ptCount val="5"/>
                <c:pt idx="0">
                  <c:v>54202.512000000024</c:v>
                </c:pt>
                <c:pt idx="1">
                  <c:v>51474.376520000063</c:v>
                </c:pt>
                <c:pt idx="2">
                  <c:v>47788.018244050079</c:v>
                </c:pt>
                <c:pt idx="3">
                  <c:v>42570.721995725027</c:v>
                </c:pt>
                <c:pt idx="4">
                  <c:v>35340.016078234265</c:v>
                </c:pt>
              </c:numCache>
            </c:numRef>
          </c:val>
          <c:extLst>
            <c:ext xmlns:c16="http://schemas.microsoft.com/office/drawing/2014/chart" uri="{C3380CC4-5D6E-409C-BE32-E72D297353CC}">
              <c16:uniqueId val="{00000002-AD2F-470D-BEA7-2571E041C7D3}"/>
            </c:ext>
          </c:extLst>
        </c:ser>
        <c:dLbls>
          <c:showLegendKey val="0"/>
          <c:showVal val="0"/>
          <c:showCatName val="0"/>
          <c:showSerName val="0"/>
          <c:showPercent val="0"/>
          <c:showBubbleSize val="0"/>
        </c:dLbls>
        <c:gapWidth val="150"/>
        <c:axId val="87175055"/>
        <c:axId val="55227012"/>
      </c:barChart>
      <c:catAx>
        <c:axId val="87175055"/>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227012"/>
        <c:crosses val="autoZero"/>
        <c:auto val="1"/>
        <c:lblAlgn val="ctr"/>
        <c:lblOffset val="100"/>
        <c:noMultiLvlLbl val="0"/>
      </c:catAx>
      <c:valAx>
        <c:axId val="5522701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Crore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17505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137880</xdr:rowOff>
    </xdr:from>
    <xdr:to>
      <xdr:col>5</xdr:col>
      <xdr:colOff>165960</xdr:colOff>
      <xdr:row>35</xdr:row>
      <xdr:rowOff>149400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428760</xdr:colOff>
      <xdr:row>20</xdr:row>
      <xdr:rowOff>21240</xdr:rowOff>
    </xdr:from>
    <xdr:to>
      <xdr:col>10</xdr:col>
      <xdr:colOff>594720</xdr:colOff>
      <xdr:row>36</xdr:row>
      <xdr:rowOff>32760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881640</xdr:colOff>
      <xdr:row>19</xdr:row>
      <xdr:rowOff>153000</xdr:rowOff>
    </xdr:from>
    <xdr:to>
      <xdr:col>21</xdr:col>
      <xdr:colOff>195840</xdr:colOff>
      <xdr:row>35</xdr:row>
      <xdr:rowOff>164520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47625</xdr:colOff>
      <xdr:row>18</xdr:row>
      <xdr:rowOff>174425</xdr:rowOff>
    </xdr:from>
    <xdr:to>
      <xdr:col>15</xdr:col>
      <xdr:colOff>527305</xdr:colOff>
      <xdr:row>37</xdr:row>
      <xdr:rowOff>41945</xdr:rowOff>
    </xdr:to>
    <xdr:graphicFrame macro="">
      <xdr:nvGraphicFramePr>
        <xdr:cNvPr id="3" name="Chart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
  <sheetViews>
    <sheetView showGridLines="0" zoomScaleNormal="100" workbookViewId="0">
      <selection activeCell="H64" sqref="H64"/>
    </sheetView>
  </sheetViews>
  <sheetFormatPr defaultColWidth="8.6640625" defaultRowHeight="14.4" x14ac:dyDescent="0.3"/>
  <cols>
    <col min="1" max="1" width="36" customWidth="1"/>
    <col min="2" max="6" width="12" customWidth="1"/>
    <col min="7" max="7" width="3" customWidth="1"/>
    <col min="8" max="8" width="30" customWidth="1"/>
    <col min="9" max="9" width="29.44140625" customWidth="1"/>
    <col min="10" max="10" width="22" customWidth="1"/>
  </cols>
  <sheetData>
    <row r="1" spans="1:10" ht="21.75" customHeight="1" x14ac:dyDescent="0.3">
      <c r="A1" s="1" t="s">
        <v>22</v>
      </c>
      <c r="B1" s="1"/>
      <c r="C1" s="1"/>
      <c r="D1" s="1"/>
      <c r="E1" s="1"/>
      <c r="F1" s="1"/>
      <c r="G1" s="1"/>
      <c r="H1" s="1"/>
      <c r="I1" s="1"/>
      <c r="J1" s="1"/>
    </row>
    <row r="2" spans="1:10" ht="15.6" x14ac:dyDescent="0.3">
      <c r="A2" s="52" t="s">
        <v>23</v>
      </c>
      <c r="B2" s="52"/>
      <c r="C2" s="52"/>
      <c r="D2" s="52"/>
      <c r="E2" s="52"/>
      <c r="F2" s="52"/>
      <c r="G2" s="52"/>
      <c r="H2" s="52"/>
      <c r="I2" s="52"/>
      <c r="J2" s="52"/>
    </row>
    <row r="3" spans="1:10" x14ac:dyDescent="0.3">
      <c r="A3" s="53" t="s">
        <v>24</v>
      </c>
      <c r="B3" s="53"/>
      <c r="C3" s="53"/>
      <c r="D3" s="53"/>
      <c r="E3" s="53"/>
      <c r="F3" s="53"/>
      <c r="G3" s="53"/>
      <c r="H3" s="53"/>
      <c r="I3" s="53"/>
      <c r="J3" s="53"/>
    </row>
    <row r="4" spans="1:10" ht="105" customHeight="1" x14ac:dyDescent="0.3">
      <c r="A4" s="54" t="s">
        <v>149</v>
      </c>
      <c r="B4" s="54"/>
      <c r="C4" s="54"/>
      <c r="D4" s="54"/>
      <c r="E4" s="54"/>
      <c r="F4" s="54"/>
      <c r="G4" s="54"/>
      <c r="H4" s="54"/>
      <c r="I4" s="54"/>
      <c r="J4" s="54"/>
    </row>
    <row r="6" spans="1:10" ht="15.6" x14ac:dyDescent="0.3">
      <c r="A6" s="52" t="s">
        <v>25</v>
      </c>
      <c r="B6" s="52"/>
      <c r="C6" s="52"/>
      <c r="D6" s="52"/>
      <c r="E6" s="52"/>
      <c r="F6" s="52"/>
      <c r="H6" s="52" t="s">
        <v>26</v>
      </c>
      <c r="I6" s="52"/>
      <c r="J6" s="52"/>
    </row>
    <row r="7" spans="1:10" x14ac:dyDescent="0.3">
      <c r="A7" s="20" t="s">
        <v>27</v>
      </c>
      <c r="B7" s="21" t="s">
        <v>28</v>
      </c>
      <c r="C7" s="21" t="s">
        <v>29</v>
      </c>
      <c r="D7" s="21" t="s">
        <v>30</v>
      </c>
      <c r="E7" s="21" t="s">
        <v>31</v>
      </c>
      <c r="F7" s="21" t="s">
        <v>32</v>
      </c>
      <c r="H7" s="20" t="s">
        <v>33</v>
      </c>
      <c r="I7" s="20" t="s">
        <v>34</v>
      </c>
      <c r="J7" s="20" t="s">
        <v>35</v>
      </c>
    </row>
    <row r="8" spans="1:10" x14ac:dyDescent="0.3">
      <c r="A8" s="22" t="s">
        <v>36</v>
      </c>
      <c r="B8" s="23">
        <v>95407</v>
      </c>
      <c r="C8" s="23">
        <v>121067</v>
      </c>
      <c r="D8" s="23">
        <v>159516</v>
      </c>
      <c r="E8" s="23">
        <v>186331</v>
      </c>
      <c r="F8" s="23">
        <v>195218</v>
      </c>
      <c r="H8" s="24" t="s">
        <v>37</v>
      </c>
      <c r="I8" s="25" t="s">
        <v>38</v>
      </c>
      <c r="J8" s="26" t="s">
        <v>39</v>
      </c>
    </row>
    <row r="9" spans="1:10" x14ac:dyDescent="0.3">
      <c r="A9" s="22" t="s">
        <v>40</v>
      </c>
      <c r="B9" s="23">
        <v>41167</v>
      </c>
      <c r="C9" s="23">
        <v>50543</v>
      </c>
      <c r="D9" s="23">
        <v>74108</v>
      </c>
      <c r="E9" s="23">
        <v>89028</v>
      </c>
      <c r="F9" s="23">
        <v>89029</v>
      </c>
      <c r="H9" s="24" t="s">
        <v>41</v>
      </c>
      <c r="I9" s="25" t="s">
        <v>42</v>
      </c>
      <c r="J9" s="26" t="s">
        <v>39</v>
      </c>
    </row>
    <row r="10" spans="1:10" x14ac:dyDescent="0.3">
      <c r="A10" s="22" t="s">
        <v>43</v>
      </c>
      <c r="B10" s="23">
        <f>B8-B9</f>
        <v>54240</v>
      </c>
      <c r="C10" s="23">
        <f>C8-C9</f>
        <v>70524</v>
      </c>
      <c r="D10" s="23">
        <f>D8-D9</f>
        <v>85408</v>
      </c>
      <c r="E10" s="23">
        <f>E8-E9</f>
        <v>97303</v>
      </c>
      <c r="F10" s="23">
        <f>F8-F9</f>
        <v>106189</v>
      </c>
      <c r="H10" s="24" t="s">
        <v>44</v>
      </c>
      <c r="I10" s="25" t="s">
        <v>45</v>
      </c>
      <c r="J10" s="26" t="s">
        <v>46</v>
      </c>
    </row>
    <row r="11" spans="1:10" x14ac:dyDescent="0.3">
      <c r="A11" s="22" t="s">
        <v>47</v>
      </c>
      <c r="B11" s="23">
        <v>80798</v>
      </c>
      <c r="C11" s="23">
        <v>87864</v>
      </c>
      <c r="D11" s="23">
        <v>99560</v>
      </c>
      <c r="E11" s="23">
        <v>130078</v>
      </c>
      <c r="F11" s="23">
        <v>142971</v>
      </c>
      <c r="H11" s="24" t="s">
        <v>48</v>
      </c>
      <c r="I11" s="25" t="s">
        <v>49</v>
      </c>
      <c r="J11" s="26" t="s">
        <v>39</v>
      </c>
    </row>
    <row r="12" spans="1:10" x14ac:dyDescent="0.3">
      <c r="A12" s="22" t="s">
        <v>50</v>
      </c>
      <c r="B12" s="23">
        <f>B10-B11</f>
        <v>-26558</v>
      </c>
      <c r="C12" s="23">
        <f>C10-C11</f>
        <v>-17340</v>
      </c>
      <c r="D12" s="23">
        <f>D10-D11</f>
        <v>-14152</v>
      </c>
      <c r="E12" s="23">
        <f>E10-E11</f>
        <v>-32775</v>
      </c>
      <c r="F12" s="23">
        <f>F10-F11</f>
        <v>-36782</v>
      </c>
      <c r="H12" s="24" t="s">
        <v>51</v>
      </c>
      <c r="I12" s="25" t="s">
        <v>52</v>
      </c>
      <c r="J12" s="26" t="s">
        <v>46</v>
      </c>
    </row>
    <row r="13" spans="1:10" x14ac:dyDescent="0.3">
      <c r="A13" s="22" t="s">
        <v>53</v>
      </c>
      <c r="B13" s="23">
        <v>62129</v>
      </c>
      <c r="C13" s="23">
        <v>65112</v>
      </c>
      <c r="D13" s="23">
        <v>76522</v>
      </c>
      <c r="E13" s="23">
        <v>108255</v>
      </c>
      <c r="F13" s="23">
        <v>116900</v>
      </c>
      <c r="H13" s="24" t="s">
        <v>54</v>
      </c>
      <c r="I13" s="25" t="s">
        <v>55</v>
      </c>
      <c r="J13" s="26" t="s">
        <v>56</v>
      </c>
    </row>
    <row r="14" spans="1:10" x14ac:dyDescent="0.3">
      <c r="A14" s="22" t="s">
        <v>57</v>
      </c>
      <c r="B14" s="23">
        <f>B12+B13</f>
        <v>35571</v>
      </c>
      <c r="C14" s="23">
        <f>C12+C13</f>
        <v>47772</v>
      </c>
      <c r="D14" s="23">
        <f>D12+D13</f>
        <v>62370</v>
      </c>
      <c r="E14" s="23">
        <f>E12+E13</f>
        <v>75480</v>
      </c>
      <c r="F14" s="23">
        <f>F12+F13</f>
        <v>80118</v>
      </c>
      <c r="H14" s="24" t="s">
        <v>58</v>
      </c>
      <c r="I14" s="25" t="s">
        <v>59</v>
      </c>
      <c r="J14" s="26" t="s">
        <v>56</v>
      </c>
    </row>
    <row r="15" spans="1:10" x14ac:dyDescent="0.3">
      <c r="A15" s="22" t="s">
        <v>60</v>
      </c>
      <c r="B15" s="23">
        <v>1330</v>
      </c>
      <c r="C15" s="23">
        <v>1515</v>
      </c>
      <c r="D15" s="23">
        <v>1935</v>
      </c>
      <c r="E15" s="23">
        <v>2627</v>
      </c>
      <c r="F15" s="23">
        <v>3061</v>
      </c>
      <c r="H15" s="24" t="s">
        <v>61</v>
      </c>
      <c r="I15" s="25" t="s">
        <v>62</v>
      </c>
      <c r="J15" s="26" t="s">
        <v>63</v>
      </c>
    </row>
    <row r="16" spans="1:10" x14ac:dyDescent="0.3">
      <c r="A16" s="22" t="s">
        <v>64</v>
      </c>
      <c r="B16" s="23">
        <f>B14-B15</f>
        <v>34241</v>
      </c>
      <c r="C16" s="23">
        <f>C14-C15</f>
        <v>46257</v>
      </c>
      <c r="D16" s="23">
        <f>D14-D15</f>
        <v>60435</v>
      </c>
      <c r="E16" s="23">
        <f>E14-E15</f>
        <v>72853</v>
      </c>
      <c r="F16" s="23">
        <f>F14-F15</f>
        <v>77057</v>
      </c>
      <c r="H16" s="24" t="s">
        <v>65</v>
      </c>
      <c r="I16" s="25" t="s">
        <v>66</v>
      </c>
      <c r="J16" s="26" t="s">
        <v>63</v>
      </c>
    </row>
    <row r="17" spans="1:10" x14ac:dyDescent="0.3">
      <c r="A17" s="22" t="s">
        <v>67</v>
      </c>
      <c r="B17" s="23">
        <v>8457.44</v>
      </c>
      <c r="C17" s="23">
        <v>11793.44</v>
      </c>
      <c r="D17" s="23">
        <v>15427.62</v>
      </c>
      <c r="E17" s="23">
        <v>18434.830000000002</v>
      </c>
      <c r="F17" s="23">
        <v>19383.93</v>
      </c>
      <c r="H17" s="24" t="s">
        <v>68</v>
      </c>
      <c r="I17" s="25" t="s">
        <v>69</v>
      </c>
      <c r="J17" s="26" t="s">
        <v>63</v>
      </c>
    </row>
    <row r="18" spans="1:10" x14ac:dyDescent="0.3">
      <c r="A18" s="22" t="s">
        <v>70</v>
      </c>
      <c r="B18" s="23">
        <v>673.46</v>
      </c>
      <c r="C18" s="23">
        <v>426.92</v>
      </c>
      <c r="D18" s="23">
        <v>751.01</v>
      </c>
      <c r="E18" s="23">
        <v>3388.97</v>
      </c>
      <c r="F18" s="23">
        <v>3465.37</v>
      </c>
      <c r="H18" s="24" t="s">
        <v>71</v>
      </c>
      <c r="I18" s="25" t="s">
        <v>72</v>
      </c>
      <c r="J18" s="26" t="s">
        <v>63</v>
      </c>
    </row>
    <row r="19" spans="1:10" x14ac:dyDescent="0.3">
      <c r="A19" s="22" t="s">
        <v>73</v>
      </c>
      <c r="B19" s="23">
        <f>B16-B17-B18</f>
        <v>25110.1</v>
      </c>
      <c r="C19" s="23">
        <f>C16-C17-C18</f>
        <v>34036.639999999999</v>
      </c>
      <c r="D19" s="23">
        <f>D16-D17-D18</f>
        <v>44256.369999999995</v>
      </c>
      <c r="E19" s="23">
        <f>E16-E17-E18</f>
        <v>51029.2</v>
      </c>
      <c r="F19" s="23">
        <f>F16-F17-F18</f>
        <v>54207.7</v>
      </c>
      <c r="H19" s="24" t="s">
        <v>74</v>
      </c>
      <c r="I19" s="61" t="s">
        <v>75</v>
      </c>
      <c r="J19" s="26" t="s">
        <v>39</v>
      </c>
    </row>
    <row r="20" spans="1:10" x14ac:dyDescent="0.3">
      <c r="A20" s="22" t="s">
        <v>76</v>
      </c>
      <c r="B20" s="23">
        <v>694.88</v>
      </c>
      <c r="C20" s="23">
        <v>698.28</v>
      </c>
      <c r="D20" s="23">
        <v>702.23</v>
      </c>
      <c r="E20" s="23">
        <v>712.19</v>
      </c>
      <c r="F20" s="23">
        <v>716.01</v>
      </c>
    </row>
    <row r="21" spans="1:10" x14ac:dyDescent="0.3">
      <c r="A21" s="22" t="s">
        <v>77</v>
      </c>
      <c r="B21" s="27">
        <f>B19/B20</f>
        <v>36.135879576329721</v>
      </c>
      <c r="C21" s="27">
        <f>C19/C20</f>
        <v>48.743541272841838</v>
      </c>
      <c r="D21" s="27">
        <f>D19/D20</f>
        <v>63.022613673582718</v>
      </c>
      <c r="E21" s="27">
        <f>E19/E20</f>
        <v>71.651104340133941</v>
      </c>
      <c r="F21" s="27">
        <f>F19/F20</f>
        <v>75.708020837697788</v>
      </c>
    </row>
    <row r="22" spans="1:10" x14ac:dyDescent="0.3">
      <c r="A22" s="22" t="s">
        <v>78</v>
      </c>
      <c r="B22" s="28">
        <v>0.14000000000000001</v>
      </c>
      <c r="C22" s="28">
        <v>0.16</v>
      </c>
      <c r="D22" s="28">
        <v>0.16</v>
      </c>
      <c r="E22" s="28">
        <v>0.15</v>
      </c>
      <c r="F22" s="28">
        <v>0.16</v>
      </c>
    </row>
    <row r="24" spans="1:10" ht="15.6" x14ac:dyDescent="0.3">
      <c r="A24" s="52" t="s">
        <v>79</v>
      </c>
      <c r="B24" s="52"/>
      <c r="C24" s="52"/>
      <c r="D24" s="52"/>
      <c r="E24" s="52"/>
      <c r="F24" s="52"/>
    </row>
    <row r="25" spans="1:10" x14ac:dyDescent="0.3">
      <c r="A25" s="20" t="s">
        <v>27</v>
      </c>
      <c r="B25" s="21" t="s">
        <v>28</v>
      </c>
      <c r="C25" s="21" t="s">
        <v>29</v>
      </c>
      <c r="D25" s="21" t="s">
        <v>30</v>
      </c>
      <c r="E25" s="21" t="s">
        <v>31</v>
      </c>
      <c r="F25" s="21" t="s">
        <v>32</v>
      </c>
    </row>
    <row r="26" spans="1:10" x14ac:dyDescent="0.3">
      <c r="A26" s="22" t="s">
        <v>80</v>
      </c>
      <c r="B26" s="23">
        <v>1390</v>
      </c>
      <c r="C26" s="23">
        <v>1397</v>
      </c>
      <c r="D26" s="23">
        <v>1405</v>
      </c>
      <c r="E26" s="23">
        <v>1425</v>
      </c>
      <c r="F26" s="23">
        <v>1432</v>
      </c>
    </row>
    <row r="27" spans="1:10" x14ac:dyDescent="0.3">
      <c r="A27" s="22" t="s">
        <v>81</v>
      </c>
      <c r="B27" s="23">
        <v>180663</v>
      </c>
      <c r="C27" s="23">
        <v>213101</v>
      </c>
      <c r="D27" s="23">
        <v>254739</v>
      </c>
      <c r="E27" s="23">
        <v>312481</v>
      </c>
      <c r="F27" s="23">
        <v>361628</v>
      </c>
    </row>
    <row r="28" spans="1:10" x14ac:dyDescent="0.3">
      <c r="A28" s="22" t="s">
        <v>82</v>
      </c>
      <c r="B28" s="23">
        <v>1091366</v>
      </c>
      <c r="C28" s="23">
        <v>1210832</v>
      </c>
      <c r="D28" s="23">
        <v>1443580</v>
      </c>
      <c r="E28" s="23">
        <v>1641637</v>
      </c>
      <c r="F28" s="23">
        <v>1830020</v>
      </c>
    </row>
    <row r="29" spans="1:10" x14ac:dyDescent="0.3">
      <c r="A29" s="22" t="s">
        <v>83</v>
      </c>
      <c r="B29" s="23">
        <v>161603</v>
      </c>
      <c r="C29" s="23">
        <v>189062</v>
      </c>
      <c r="D29" s="23">
        <v>207428</v>
      </c>
      <c r="E29" s="23">
        <v>218883</v>
      </c>
      <c r="F29" s="23">
        <v>220264</v>
      </c>
    </row>
    <row r="30" spans="1:10" x14ac:dyDescent="0.3">
      <c r="A30" s="22" t="s">
        <v>84</v>
      </c>
      <c r="B30" s="23">
        <v>317616</v>
      </c>
      <c r="C30" s="23">
        <v>344099</v>
      </c>
      <c r="D30" s="23">
        <v>456911</v>
      </c>
      <c r="E30" s="23">
        <v>467815</v>
      </c>
      <c r="F30" s="23">
        <v>501153</v>
      </c>
    </row>
    <row r="31" spans="1:10" x14ac:dyDescent="0.3">
      <c r="A31" s="19" t="s">
        <v>85</v>
      </c>
      <c r="B31" s="29">
        <f>B26+B27+B28+B29+B30</f>
        <v>1752638</v>
      </c>
      <c r="C31" s="29">
        <f>C26+C27+C28+C29+C30</f>
        <v>1958491</v>
      </c>
      <c r="D31" s="29">
        <f>D26+D27+D28+D29+D30</f>
        <v>2364063</v>
      </c>
      <c r="E31" s="29">
        <f>E26+E27+E28+E29+E30</f>
        <v>2642241</v>
      </c>
      <c r="F31" s="29">
        <f>F26+F27+F28+F29+F30</f>
        <v>2914497</v>
      </c>
    </row>
    <row r="32" spans="1:10" x14ac:dyDescent="0.3">
      <c r="A32" s="22" t="s">
        <v>86</v>
      </c>
      <c r="B32" s="23">
        <v>10707</v>
      </c>
      <c r="C32" s="23">
        <v>11070</v>
      </c>
      <c r="D32" s="23">
        <v>15714</v>
      </c>
      <c r="E32" s="23">
        <v>24272</v>
      </c>
      <c r="F32" s="23">
        <v>27970</v>
      </c>
    </row>
    <row r="33" spans="1:6" x14ac:dyDescent="0.3">
      <c r="A33" s="22" t="s">
        <v>87</v>
      </c>
      <c r="B33" s="23">
        <v>567098</v>
      </c>
      <c r="C33" s="23">
        <v>639552</v>
      </c>
      <c r="D33" s="23">
        <v>827163</v>
      </c>
      <c r="E33" s="23">
        <v>886377</v>
      </c>
      <c r="F33" s="23">
        <v>870720</v>
      </c>
    </row>
    <row r="34" spans="1:6" x14ac:dyDescent="0.3">
      <c r="A34" s="22" t="s">
        <v>88</v>
      </c>
      <c r="B34" s="23">
        <v>1174833</v>
      </c>
      <c r="C34" s="23">
        <v>1307868</v>
      </c>
      <c r="D34" s="23">
        <v>1521186</v>
      </c>
      <c r="E34" s="23">
        <v>1731593</v>
      </c>
      <c r="F34" s="23">
        <v>2015808</v>
      </c>
    </row>
    <row r="35" spans="1:6" x14ac:dyDescent="0.3">
      <c r="A35" s="19" t="s">
        <v>89</v>
      </c>
      <c r="B35" s="29">
        <f>B32+B33+B34</f>
        <v>1752638</v>
      </c>
      <c r="C35" s="29">
        <f>C32+C33+C34</f>
        <v>1958490</v>
      </c>
      <c r="D35" s="29">
        <f>D32+D33+D34</f>
        <v>2364063</v>
      </c>
      <c r="E35" s="29">
        <f>E32+E33+E34</f>
        <v>2642242</v>
      </c>
      <c r="F35" s="29">
        <f>F32+F33+F34</f>
        <v>2914498</v>
      </c>
    </row>
    <row r="37" spans="1:6" ht="15.6" x14ac:dyDescent="0.3">
      <c r="A37" s="52" t="s">
        <v>90</v>
      </c>
      <c r="B37" s="52"/>
      <c r="C37" s="52"/>
      <c r="D37" s="52"/>
      <c r="E37" s="52"/>
      <c r="F37" s="52"/>
    </row>
    <row r="38" spans="1:6" x14ac:dyDescent="0.3">
      <c r="A38" s="20" t="s">
        <v>27</v>
      </c>
      <c r="B38" s="21" t="s">
        <v>28</v>
      </c>
      <c r="C38" s="21" t="s">
        <v>29</v>
      </c>
      <c r="D38" s="21" t="s">
        <v>30</v>
      </c>
      <c r="E38" s="21" t="s">
        <v>31</v>
      </c>
      <c r="F38" s="21" t="s">
        <v>32</v>
      </c>
    </row>
    <row r="39" spans="1:6" x14ac:dyDescent="0.3">
      <c r="A39" s="22" t="s">
        <v>91</v>
      </c>
      <c r="B39" s="30">
        <v>58111</v>
      </c>
      <c r="C39" s="30">
        <v>-3771</v>
      </c>
      <c r="D39" s="30">
        <v>157284</v>
      </c>
      <c r="E39" s="30">
        <v>122805</v>
      </c>
      <c r="F39" s="30">
        <v>67325</v>
      </c>
    </row>
    <row r="40" spans="1:6" x14ac:dyDescent="0.3">
      <c r="A40" s="22" t="s">
        <v>92</v>
      </c>
      <c r="B40" s="30">
        <v>-40007</v>
      </c>
      <c r="C40" s="30">
        <v>-67689</v>
      </c>
      <c r="D40" s="30">
        <v>-144737</v>
      </c>
      <c r="E40" s="30">
        <v>-77140</v>
      </c>
      <c r="F40" s="30">
        <v>-11708</v>
      </c>
    </row>
    <row r="41" spans="1:6" x14ac:dyDescent="0.3">
      <c r="A41" s="22" t="s">
        <v>93</v>
      </c>
      <c r="B41" s="30">
        <v>17451</v>
      </c>
      <c r="C41" s="30">
        <v>24791</v>
      </c>
      <c r="D41" s="30">
        <v>13765</v>
      </c>
      <c r="E41" s="30">
        <v>5589</v>
      </c>
      <c r="F41" s="30">
        <v>-4661</v>
      </c>
    </row>
    <row r="42" spans="1:6" x14ac:dyDescent="0.3">
      <c r="A42" s="19" t="s">
        <v>94</v>
      </c>
      <c r="B42" s="31">
        <f>B39+B40+B41</f>
        <v>35555</v>
      </c>
      <c r="C42" s="31">
        <f>C39+C40+C41</f>
        <v>-46669</v>
      </c>
      <c r="D42" s="31">
        <f>D39+D40+D41</f>
        <v>26312</v>
      </c>
      <c r="E42" s="31">
        <f>E39+E40+E41</f>
        <v>51254</v>
      </c>
      <c r="F42" s="31">
        <f>F39+F40+F41</f>
        <v>50956</v>
      </c>
    </row>
  </sheetData>
  <mergeCells count="8">
    <mergeCell ref="A6:F6"/>
    <mergeCell ref="H6:J6"/>
    <mergeCell ref="A24:F24"/>
    <mergeCell ref="A37:F37"/>
    <mergeCell ref="A1:J1"/>
    <mergeCell ref="A2:J2"/>
    <mergeCell ref="A3:J3"/>
    <mergeCell ref="A4:J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zoomScale="52" zoomScaleNormal="73" workbookViewId="0">
      <selection activeCell="A4" sqref="A4:C6"/>
    </sheetView>
  </sheetViews>
  <sheetFormatPr defaultColWidth="8.6640625" defaultRowHeight="14.4" x14ac:dyDescent="0.3"/>
  <cols>
    <col min="1" max="12" width="22" customWidth="1"/>
  </cols>
  <sheetData>
    <row r="1" spans="1:12" ht="19.5" customHeight="1" x14ac:dyDescent="0.3">
      <c r="A1" s="11" t="s">
        <v>0</v>
      </c>
      <c r="B1" s="11"/>
      <c r="C1" s="11"/>
      <c r="D1" s="11"/>
      <c r="E1" s="11"/>
      <c r="F1" s="11"/>
      <c r="G1" s="11"/>
      <c r="H1" s="11"/>
      <c r="I1" s="11"/>
      <c r="J1" s="11"/>
      <c r="K1" s="11"/>
      <c r="L1" s="11"/>
    </row>
    <row r="2" spans="1:12" ht="15" customHeight="1" x14ac:dyDescent="0.3"/>
    <row r="3" spans="1:12" ht="15" customHeight="1" x14ac:dyDescent="0.3">
      <c r="A3" s="60" t="s">
        <v>152</v>
      </c>
      <c r="B3" s="10"/>
      <c r="C3" s="10"/>
    </row>
    <row r="4" spans="1:12" ht="15" customHeight="1" x14ac:dyDescent="0.3">
      <c r="A4" s="9" t="s">
        <v>150</v>
      </c>
      <c r="B4" s="9"/>
      <c r="C4" s="9"/>
    </row>
    <row r="5" spans="1:12" x14ac:dyDescent="0.3">
      <c r="A5" s="9"/>
      <c r="B5" s="9"/>
      <c r="C5" s="9"/>
    </row>
    <row r="6" spans="1:12" x14ac:dyDescent="0.3">
      <c r="A6" s="9"/>
      <c r="B6" s="9"/>
      <c r="C6" s="9"/>
    </row>
    <row r="8" spans="1:12" ht="15" customHeight="1" x14ac:dyDescent="0.3">
      <c r="A8" s="8" t="s">
        <v>1</v>
      </c>
      <c r="B8" s="8"/>
      <c r="C8" s="8"/>
      <c r="D8" s="8"/>
      <c r="E8" s="8"/>
      <c r="F8" s="8"/>
      <c r="G8" s="8"/>
      <c r="H8" s="8"/>
      <c r="I8" s="8"/>
      <c r="J8" s="8"/>
      <c r="K8" s="8"/>
      <c r="L8" s="8"/>
    </row>
    <row r="9" spans="1:12" ht="15" customHeight="1" x14ac:dyDescent="0.3">
      <c r="A9" s="7" t="s">
        <v>2</v>
      </c>
      <c r="B9" s="7"/>
      <c r="C9" s="7" t="s">
        <v>3</v>
      </c>
      <c r="D9" s="7"/>
      <c r="E9" s="7" t="s">
        <v>4</v>
      </c>
      <c r="F9" s="7"/>
      <c r="G9" s="7" t="s">
        <v>5</v>
      </c>
      <c r="H9" s="7"/>
      <c r="I9" s="7" t="s">
        <v>6</v>
      </c>
      <c r="J9" s="7"/>
      <c r="K9" s="7" t="s">
        <v>7</v>
      </c>
      <c r="L9" s="7"/>
    </row>
    <row r="10" spans="1:12" x14ac:dyDescent="0.3">
      <c r="A10" s="6">
        <f>Forecast!F5</f>
        <v>446571.4006652534</v>
      </c>
      <c r="B10" s="6"/>
      <c r="C10" s="5">
        <f>Forecast!F22</f>
        <v>205517.26484643228</v>
      </c>
      <c r="D10" s="5"/>
      <c r="E10" s="4">
        <f>(Forecast!F5/'Overview and Historicals'!$F$8)^(1/5)-1</f>
        <v>0.1799788131028297</v>
      </c>
      <c r="F10" s="4"/>
      <c r="G10" s="4">
        <f>(Forecast!F22/'Overview and Historicals'!$F$19)^(1/5)-1</f>
        <v>0.30544165425227265</v>
      </c>
      <c r="H10" s="4"/>
      <c r="I10" s="3">
        <f>Forecast!F22/Forecast!F5</f>
        <v>0.4602114343647512</v>
      </c>
      <c r="J10" s="3"/>
      <c r="K10" s="3">
        <f>Forecast!F10/(Forecast!F9+Forecast!F12)</f>
        <v>0.44520288202979269</v>
      </c>
      <c r="L10" s="3"/>
    </row>
    <row r="11" spans="1:12" x14ac:dyDescent="0.3">
      <c r="A11" s="6"/>
      <c r="B11" s="6"/>
      <c r="C11" s="5"/>
      <c r="D11" s="5"/>
      <c r="E11" s="4"/>
      <c r="F11" s="4"/>
      <c r="G11" s="4"/>
      <c r="H11" s="4"/>
      <c r="I11" s="3"/>
      <c r="J11" s="3"/>
      <c r="K11" s="3"/>
      <c r="L11" s="3"/>
    </row>
    <row r="13" spans="1:12" x14ac:dyDescent="0.3">
      <c r="A13" s="2" t="str">
        <f>"Under the "&amp;A4&amp;" scenario, Revenue is projected to grow from ₹"&amp;TEXT('Overview and Historicals'!$F$8,"#,##0")&amp;" Cr (FY25-26) to ₹"&amp;TEXT(Forecast!F5,"#,##0")&amp;" Cr by FY2030-31E, while Net Profit grows from ₹"&amp;TEXT('Overview and Historicals'!$F$19,"#,##0")&amp;" Cr to ₹"&amp;TEXT(Forecast!F22,"#,##0")&amp;" Cr."</f>
        <v>Under the Bull scenario, Revenue is projected to grow from ₹1,95,218 Cr (FY25-26) to ₹4,46,571 Cr by FY2030-31E, while Net Profit grows from ₹54,208 Cr to ₹2,05,517 Cr.</v>
      </c>
      <c r="B13" s="2"/>
      <c r="C13" s="2"/>
      <c r="D13" s="2"/>
      <c r="E13" s="2"/>
      <c r="F13" s="2"/>
      <c r="G13" s="2"/>
      <c r="H13" s="2"/>
      <c r="I13" s="2"/>
      <c r="J13" s="2"/>
      <c r="K13" s="2"/>
      <c r="L13" s="2"/>
    </row>
    <row r="15" spans="1:12" x14ac:dyDescent="0.3">
      <c r="A15" s="14" t="s">
        <v>8</v>
      </c>
      <c r="B15" s="15" t="s">
        <v>9</v>
      </c>
      <c r="C15" s="15" t="s">
        <v>10</v>
      </c>
      <c r="D15" s="15" t="s">
        <v>11</v>
      </c>
      <c r="E15" s="15" t="s">
        <v>12</v>
      </c>
      <c r="F15" s="15" t="s">
        <v>13</v>
      </c>
      <c r="G15" s="15" t="s">
        <v>14</v>
      </c>
      <c r="H15" s="15" t="s">
        <v>15</v>
      </c>
      <c r="I15" s="15" t="s">
        <v>16</v>
      </c>
      <c r="J15" s="15" t="s">
        <v>17</v>
      </c>
    </row>
    <row r="16" spans="1:12" x14ac:dyDescent="0.3">
      <c r="A16" s="16" t="s">
        <v>18</v>
      </c>
      <c r="B16" s="17">
        <f>'Overview and Historicals'!C8</f>
        <v>121067</v>
      </c>
      <c r="C16" s="17">
        <f>'Overview and Historicals'!D8</f>
        <v>159516</v>
      </c>
      <c r="D16" s="17">
        <f>'Overview and Historicals'!E8</f>
        <v>186331</v>
      </c>
      <c r="E16" s="17">
        <f>'Overview and Historicals'!F8</f>
        <v>195218</v>
      </c>
      <c r="F16" s="17">
        <f>Forecast!B5</f>
        <v>232309.41999999998</v>
      </c>
      <c r="G16" s="17">
        <f>Forecast!C5</f>
        <v>275286.66269999999</v>
      </c>
      <c r="H16" s="17">
        <f>Forecast!D5</f>
        <v>324838.26198599994</v>
      </c>
      <c r="I16" s="17">
        <f>Forecast!E5</f>
        <v>381684.95783354994</v>
      </c>
      <c r="J16" s="17">
        <f>Forecast!F5</f>
        <v>446571.4006652534</v>
      </c>
    </row>
    <row r="17" spans="1:10" x14ac:dyDescent="0.3">
      <c r="A17" s="16" t="s">
        <v>19</v>
      </c>
      <c r="B17" s="17">
        <f>'Overview and Historicals'!C19</f>
        <v>34036.639999999999</v>
      </c>
      <c r="C17" s="17">
        <f>'Overview and Historicals'!D19</f>
        <v>44256.369999999995</v>
      </c>
      <c r="D17" s="17">
        <f>'Overview and Historicals'!E19</f>
        <v>51029.2</v>
      </c>
      <c r="E17" s="17">
        <f>'Overview and Historicals'!F19</f>
        <v>54207.7</v>
      </c>
      <c r="F17" s="17">
        <f>Forecast!B22</f>
        <v>75037.252799999987</v>
      </c>
      <c r="G17" s="17">
        <f>Forecast!C22</f>
        <v>99978.318921999977</v>
      </c>
      <c r="H17" s="17">
        <f>Forecast!D22</f>
        <v>129722.20902559995</v>
      </c>
      <c r="I17" s="17">
        <f>Forecast!E22</f>
        <v>164749.38748887967</v>
      </c>
      <c r="J17" s="17">
        <f>Forecast!F22</f>
        <v>205517.26484643228</v>
      </c>
    </row>
    <row r="18" spans="1:10" x14ac:dyDescent="0.3">
      <c r="A18" s="16" t="s">
        <v>20</v>
      </c>
      <c r="B18" s="18">
        <f>'Overview and Historicals'!C14/'Overview and Historicals'!C8</f>
        <v>0.39459142458308211</v>
      </c>
      <c r="C18" s="18">
        <f>'Overview and Historicals'!D14/'Overview and Historicals'!D8</f>
        <v>0.39099526066350709</v>
      </c>
      <c r="D18" s="18">
        <f>'Overview and Historicals'!E14/'Overview and Historicals'!E8</f>
        <v>0.40508557352238755</v>
      </c>
      <c r="E18" s="18">
        <f>'Overview and Historicals'!F14/'Overview and Historicals'!F8</f>
        <v>0.41040272925652349</v>
      </c>
      <c r="F18" s="18">
        <f>Forecast!B14/Forecast!B5</f>
        <v>0.46881245711000435</v>
      </c>
      <c r="G18" s="18">
        <f>Forecast!C14/Forecast!C5</f>
        <v>0.52478808211437533</v>
      </c>
      <c r="H18" s="18">
        <f>Forecast!D14/Forecast!D5</f>
        <v>0.57520783122233565</v>
      </c>
      <c r="I18" s="18">
        <f>Forecast!E14/Forecast!E5</f>
        <v>0.62025838965408453</v>
      </c>
      <c r="J18" s="18">
        <f>Forecast!F14/Forecast!F5</f>
        <v>0.66015111535850324</v>
      </c>
    </row>
    <row r="19" spans="1:10" x14ac:dyDescent="0.3">
      <c r="A19" s="16" t="s">
        <v>21</v>
      </c>
      <c r="B19" s="18">
        <f>'Overview and Historicals'!C19/'Overview and Historicals'!C8</f>
        <v>0.28113887351631739</v>
      </c>
      <c r="C19" s="18">
        <f>'Overview and Historicals'!D19/'Overview and Historicals'!D8</f>
        <v>0.27744157325910879</v>
      </c>
      <c r="D19" s="18">
        <f>'Overview and Historicals'!E19/'Overview and Historicals'!E8</f>
        <v>0.27386317896646289</v>
      </c>
      <c r="E19" s="18">
        <f>'Overview and Historicals'!F19/'Overview and Historicals'!F8</f>
        <v>0.27767777561495355</v>
      </c>
      <c r="F19" s="18">
        <f>Forecast!B22/Forecast!B5</f>
        <v>0.32300563963355422</v>
      </c>
      <c r="G19" s="18">
        <f>Forecast!C22/Forecast!C5</f>
        <v>0.36317894205776929</v>
      </c>
      <c r="H19" s="18">
        <f>Forecast!D22/Forecast!D5</f>
        <v>0.39934399424656075</v>
      </c>
      <c r="I19" s="18">
        <f>Forecast!E22/Forecast!E5</f>
        <v>0.43163709784110932</v>
      </c>
      <c r="J19" s="18">
        <f>Forecast!F22/Forecast!F5</f>
        <v>0.4602114343647512</v>
      </c>
    </row>
  </sheetData>
  <mergeCells count="17">
    <mergeCell ref="K10:L11"/>
    <mergeCell ref="A13:L13"/>
    <mergeCell ref="A10:B11"/>
    <mergeCell ref="C10:D11"/>
    <mergeCell ref="E10:F11"/>
    <mergeCell ref="G10:H11"/>
    <mergeCell ref="I10:J11"/>
    <mergeCell ref="A1:L1"/>
    <mergeCell ref="A3:C3"/>
    <mergeCell ref="A4:C6"/>
    <mergeCell ref="A8:L8"/>
    <mergeCell ref="A9:B9"/>
    <mergeCell ref="C9:D9"/>
    <mergeCell ref="E9:F9"/>
    <mergeCell ref="G9:H9"/>
    <mergeCell ref="I9:J9"/>
    <mergeCell ref="K9:L9"/>
  </mergeCells>
  <dataValidations count="1">
    <dataValidation type="list" sqref="A4" xr:uid="{00000000-0002-0000-0000-000000000000}">
      <formula1>"Base,Bull,Bear"</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0"/>
  <sheetViews>
    <sheetView showGridLines="0" zoomScale="69" zoomScaleNormal="100" workbookViewId="0">
      <selection activeCell="J2" sqref="J2"/>
    </sheetView>
  </sheetViews>
  <sheetFormatPr defaultColWidth="8.6640625" defaultRowHeight="14.4" x14ac:dyDescent="0.3"/>
  <cols>
    <col min="1" max="1" width="17.6640625" customWidth="1"/>
    <col min="2" max="6" width="10.5546875" bestFit="1" customWidth="1"/>
    <col min="7" max="7" width="12" customWidth="1"/>
    <col min="8" max="8" width="14.33203125" bestFit="1" customWidth="1"/>
    <col min="9" max="13" width="8.33203125" bestFit="1" customWidth="1"/>
    <col min="15" max="15" width="11.109375" customWidth="1"/>
    <col min="16" max="20" width="8.33203125" bestFit="1" customWidth="1"/>
  </cols>
  <sheetData>
    <row r="1" spans="1:20" ht="15.75" customHeight="1" x14ac:dyDescent="0.3">
      <c r="A1" s="62" t="s">
        <v>95</v>
      </c>
      <c r="B1" s="62"/>
      <c r="C1" s="62"/>
      <c r="D1" s="62"/>
      <c r="E1" s="62"/>
      <c r="F1" s="62"/>
      <c r="G1" s="62"/>
      <c r="H1" s="62"/>
    </row>
    <row r="2" spans="1:20" ht="15" customHeight="1" x14ac:dyDescent="0.3"/>
    <row r="4" spans="1:20" ht="74.25" customHeight="1" x14ac:dyDescent="0.3">
      <c r="A4" s="56" t="s">
        <v>96</v>
      </c>
      <c r="B4" s="56"/>
      <c r="C4" s="33" t="str">
        <f>Dashboard!$A$4</f>
        <v>Bull</v>
      </c>
    </row>
    <row r="7" spans="1:20" ht="14.4" customHeight="1" x14ac:dyDescent="0.3">
      <c r="A7" s="59" t="s">
        <v>97</v>
      </c>
      <c r="B7" s="59"/>
      <c r="C7" s="59"/>
      <c r="D7" s="59"/>
      <c r="E7" s="59"/>
      <c r="F7" s="59"/>
      <c r="H7" s="59" t="s">
        <v>107</v>
      </c>
      <c r="I7" s="59"/>
      <c r="J7" s="59"/>
      <c r="K7" s="59"/>
      <c r="L7" s="59"/>
      <c r="M7" s="59"/>
      <c r="O7" s="59" t="s">
        <v>108</v>
      </c>
      <c r="P7" s="59"/>
      <c r="Q7" s="59"/>
      <c r="R7" s="59"/>
      <c r="S7" s="59"/>
      <c r="T7" s="59"/>
    </row>
    <row r="8" spans="1:20" ht="26.4" x14ac:dyDescent="0.3">
      <c r="A8" s="14" t="s">
        <v>98</v>
      </c>
      <c r="B8" s="15" t="s">
        <v>13</v>
      </c>
      <c r="C8" s="15" t="s">
        <v>14</v>
      </c>
      <c r="D8" s="15" t="s">
        <v>15</v>
      </c>
      <c r="E8" s="15" t="s">
        <v>16</v>
      </c>
      <c r="F8" s="15" t="s">
        <v>17</v>
      </c>
      <c r="H8" s="14" t="s">
        <v>98</v>
      </c>
      <c r="I8" s="15" t="s">
        <v>13</v>
      </c>
      <c r="J8" s="15" t="s">
        <v>14</v>
      </c>
      <c r="K8" s="15" t="s">
        <v>15</v>
      </c>
      <c r="L8" s="15" t="s">
        <v>16</v>
      </c>
      <c r="M8" s="15" t="s">
        <v>17</v>
      </c>
      <c r="O8" s="14" t="s">
        <v>98</v>
      </c>
      <c r="P8" s="15" t="s">
        <v>13</v>
      </c>
      <c r="Q8" s="15" t="s">
        <v>14</v>
      </c>
      <c r="R8" s="15" t="s">
        <v>15</v>
      </c>
      <c r="S8" s="15" t="s">
        <v>16</v>
      </c>
      <c r="T8" s="15" t="s">
        <v>17</v>
      </c>
    </row>
    <row r="9" spans="1:20" ht="26.4" x14ac:dyDescent="0.3">
      <c r="A9" s="16" t="s">
        <v>99</v>
      </c>
      <c r="B9" s="35">
        <v>0.155</v>
      </c>
      <c r="C9" s="35">
        <v>0.15</v>
      </c>
      <c r="D9" s="35">
        <v>0.14499999999999999</v>
      </c>
      <c r="E9" s="35">
        <v>0.14000000000000001</v>
      </c>
      <c r="F9" s="35">
        <v>0.13500000000000001</v>
      </c>
      <c r="H9" s="16" t="s">
        <v>99</v>
      </c>
      <c r="I9" s="36">
        <v>0.19</v>
      </c>
      <c r="J9" s="36">
        <v>0.185</v>
      </c>
      <c r="K9" s="36">
        <v>0.18</v>
      </c>
      <c r="L9" s="36">
        <v>0.17499999999999999</v>
      </c>
      <c r="M9" s="36">
        <v>0.17</v>
      </c>
      <c r="O9" s="16" t="s">
        <v>99</v>
      </c>
      <c r="P9" s="37">
        <v>0.1</v>
      </c>
      <c r="Q9" s="37">
        <v>0.09</v>
      </c>
      <c r="R9" s="37">
        <v>8.5000000000000006E-2</v>
      </c>
      <c r="S9" s="37">
        <v>0.08</v>
      </c>
      <c r="T9" s="37">
        <v>0.08</v>
      </c>
    </row>
    <row r="10" spans="1:20" ht="39.6" x14ac:dyDescent="0.3">
      <c r="A10" s="16" t="s">
        <v>100</v>
      </c>
      <c r="B10" s="35">
        <v>0.13500000000000001</v>
      </c>
      <c r="C10" s="35">
        <v>0.13</v>
      </c>
      <c r="D10" s="35">
        <v>0.125</v>
      </c>
      <c r="E10" s="35">
        <v>0.125</v>
      </c>
      <c r="F10" s="35">
        <v>0.12</v>
      </c>
      <c r="H10" s="16" t="s">
        <v>100</v>
      </c>
      <c r="I10" s="36">
        <v>0.15</v>
      </c>
      <c r="J10" s="36">
        <v>0.14499999999999999</v>
      </c>
      <c r="K10" s="36">
        <v>0.14000000000000001</v>
      </c>
      <c r="L10" s="36">
        <v>0.13500000000000001</v>
      </c>
      <c r="M10" s="36">
        <v>0.13</v>
      </c>
      <c r="O10" s="16" t="s">
        <v>100</v>
      </c>
      <c r="P10" s="37">
        <v>0.12</v>
      </c>
      <c r="Q10" s="37">
        <v>0.12</v>
      </c>
      <c r="R10" s="37">
        <v>0.115</v>
      </c>
      <c r="S10" s="37">
        <v>0.11</v>
      </c>
      <c r="T10" s="37">
        <v>0.11</v>
      </c>
    </row>
    <row r="11" spans="1:20" ht="52.8" customHeight="1" x14ac:dyDescent="0.3">
      <c r="A11" s="16" t="s">
        <v>101</v>
      </c>
      <c r="B11" s="35">
        <v>0.13</v>
      </c>
      <c r="C11" s="35">
        <v>0.12</v>
      </c>
      <c r="D11" s="35">
        <v>0.115</v>
      </c>
      <c r="E11" s="35">
        <v>0.11</v>
      </c>
      <c r="F11" s="35">
        <v>0.105</v>
      </c>
      <c r="H11" s="16" t="s">
        <v>101</v>
      </c>
      <c r="I11" s="36">
        <v>0.12</v>
      </c>
      <c r="J11" s="36">
        <v>0.11</v>
      </c>
      <c r="K11" s="36">
        <v>0.105</v>
      </c>
      <c r="L11" s="36">
        <v>0.1</v>
      </c>
      <c r="M11" s="36">
        <v>9.5000000000000001E-2</v>
      </c>
      <c r="O11" s="16" t="s">
        <v>101</v>
      </c>
      <c r="P11" s="37">
        <v>0.13</v>
      </c>
      <c r="Q11" s="37">
        <v>0.13</v>
      </c>
      <c r="R11" s="37">
        <v>0.125</v>
      </c>
      <c r="S11" s="37">
        <v>0.12</v>
      </c>
      <c r="T11" s="37">
        <v>0.12</v>
      </c>
    </row>
    <row r="12" spans="1:20" ht="39.6" x14ac:dyDescent="0.3">
      <c r="A12" s="16" t="s">
        <v>102</v>
      </c>
      <c r="B12" s="35">
        <v>0.15</v>
      </c>
      <c r="C12" s="35">
        <v>0.14000000000000001</v>
      </c>
      <c r="D12" s="35">
        <v>0.13500000000000001</v>
      </c>
      <c r="E12" s="35">
        <v>0.13</v>
      </c>
      <c r="F12" s="35">
        <v>0.125</v>
      </c>
      <c r="H12" s="16" t="s">
        <v>102</v>
      </c>
      <c r="I12" s="36">
        <v>0.19</v>
      </c>
      <c r="J12" s="36">
        <v>0.18</v>
      </c>
      <c r="K12" s="36">
        <v>0.17</v>
      </c>
      <c r="L12" s="36">
        <v>0.16</v>
      </c>
      <c r="M12" s="36">
        <v>0.15</v>
      </c>
      <c r="O12" s="16" t="s">
        <v>102</v>
      </c>
      <c r="P12" s="37">
        <v>0.09</v>
      </c>
      <c r="Q12" s="37">
        <v>0.08</v>
      </c>
      <c r="R12" s="37">
        <v>0.08</v>
      </c>
      <c r="S12" s="37">
        <v>7.4999999999999997E-2</v>
      </c>
      <c r="T12" s="37">
        <v>7.0000000000000007E-2</v>
      </c>
    </row>
    <row r="13" spans="1:20" ht="39.6" x14ac:dyDescent="0.3">
      <c r="A13" s="16" t="s">
        <v>103</v>
      </c>
      <c r="B13" s="35">
        <v>0.14000000000000001</v>
      </c>
      <c r="C13" s="35">
        <v>0.14000000000000001</v>
      </c>
      <c r="D13" s="35">
        <v>0.14000000000000001</v>
      </c>
      <c r="E13" s="35">
        <v>0.14000000000000001</v>
      </c>
      <c r="F13" s="35">
        <v>0.14000000000000001</v>
      </c>
      <c r="H13" s="16" t="s">
        <v>103</v>
      </c>
      <c r="I13" s="36">
        <v>0.15</v>
      </c>
      <c r="J13" s="36">
        <v>0.15</v>
      </c>
      <c r="K13" s="36">
        <v>0.15</v>
      </c>
      <c r="L13" s="36">
        <v>0.15</v>
      </c>
      <c r="M13" s="36">
        <v>0.15</v>
      </c>
      <c r="O13" s="16" t="s">
        <v>103</v>
      </c>
      <c r="P13" s="37">
        <v>0.13</v>
      </c>
      <c r="Q13" s="37">
        <v>0.13</v>
      </c>
      <c r="R13" s="37">
        <v>0.13</v>
      </c>
      <c r="S13" s="37">
        <v>0.13</v>
      </c>
      <c r="T13" s="37">
        <v>0.13</v>
      </c>
    </row>
    <row r="14" spans="1:20" ht="39.6" x14ac:dyDescent="0.3">
      <c r="A14" s="16" t="s">
        <v>104</v>
      </c>
      <c r="B14" s="35">
        <v>0.25</v>
      </c>
      <c r="C14" s="35">
        <v>0.25</v>
      </c>
      <c r="D14" s="35">
        <v>0.25</v>
      </c>
      <c r="E14" s="35">
        <v>0.25</v>
      </c>
      <c r="F14" s="35">
        <v>0.25</v>
      </c>
      <c r="H14" s="16" t="s">
        <v>104</v>
      </c>
      <c r="I14" s="36">
        <v>0.24</v>
      </c>
      <c r="J14" s="36">
        <v>0.24</v>
      </c>
      <c r="K14" s="36">
        <v>0.24</v>
      </c>
      <c r="L14" s="36">
        <v>0.24</v>
      </c>
      <c r="M14" s="36">
        <v>0.24</v>
      </c>
      <c r="O14" s="16" t="s">
        <v>104</v>
      </c>
      <c r="P14" s="37">
        <v>0.26</v>
      </c>
      <c r="Q14" s="37">
        <v>0.26</v>
      </c>
      <c r="R14" s="37">
        <v>0.26</v>
      </c>
      <c r="S14" s="37">
        <v>0.26</v>
      </c>
      <c r="T14" s="37">
        <v>0.26</v>
      </c>
    </row>
    <row r="15" spans="1:20" ht="52.8" x14ac:dyDescent="0.3">
      <c r="A15" s="16" t="s">
        <v>105</v>
      </c>
      <c r="B15" s="35">
        <v>4.4999999999999998E-2</v>
      </c>
      <c r="C15" s="35">
        <v>4.4999999999999998E-2</v>
      </c>
      <c r="D15" s="35">
        <v>4.4999999999999998E-2</v>
      </c>
      <c r="E15" s="35">
        <v>4.4999999999999998E-2</v>
      </c>
      <c r="F15" s="35">
        <v>4.4999999999999998E-2</v>
      </c>
      <c r="H15" s="16" t="s">
        <v>105</v>
      </c>
      <c r="I15" s="36">
        <v>4.8000000000000001E-2</v>
      </c>
      <c r="J15" s="36">
        <v>4.8000000000000001E-2</v>
      </c>
      <c r="K15" s="36">
        <v>4.8000000000000001E-2</v>
      </c>
      <c r="L15" s="36">
        <v>4.8000000000000001E-2</v>
      </c>
      <c r="M15" s="36">
        <v>4.8000000000000001E-2</v>
      </c>
      <c r="O15" s="16" t="s">
        <v>105</v>
      </c>
      <c r="P15" s="37">
        <v>0.04</v>
      </c>
      <c r="Q15" s="37">
        <v>0.04</v>
      </c>
      <c r="R15" s="37">
        <v>0.04</v>
      </c>
      <c r="S15" s="37">
        <v>0.04</v>
      </c>
      <c r="T15" s="37">
        <v>0.04</v>
      </c>
    </row>
    <row r="16" spans="1:20" ht="39.6" x14ac:dyDescent="0.3">
      <c r="A16" s="16" t="s">
        <v>106</v>
      </c>
      <c r="B16" s="35">
        <v>0.16</v>
      </c>
      <c r="C16" s="35">
        <v>0.16</v>
      </c>
      <c r="D16" s="35">
        <v>0.16</v>
      </c>
      <c r="E16" s="35">
        <v>0.16</v>
      </c>
      <c r="F16" s="35">
        <v>0.16</v>
      </c>
      <c r="H16" s="16" t="s">
        <v>106</v>
      </c>
      <c r="I16" s="36">
        <v>0.17</v>
      </c>
      <c r="J16" s="36">
        <v>0.17</v>
      </c>
      <c r="K16" s="36">
        <v>0.17</v>
      </c>
      <c r="L16" s="36">
        <v>0.17</v>
      </c>
      <c r="M16" s="36">
        <v>0.17</v>
      </c>
      <c r="O16" s="16" t="s">
        <v>106</v>
      </c>
      <c r="P16" s="37">
        <v>0.14000000000000001</v>
      </c>
      <c r="Q16" s="37">
        <v>0.14000000000000001</v>
      </c>
      <c r="R16" s="37">
        <v>0.14000000000000001</v>
      </c>
      <c r="S16" s="37">
        <v>0.14000000000000001</v>
      </c>
      <c r="T16" s="37">
        <v>0.14000000000000001</v>
      </c>
    </row>
    <row r="18" spans="1:6" ht="15" customHeight="1" x14ac:dyDescent="0.3"/>
    <row r="19" spans="1:6" x14ac:dyDescent="0.3">
      <c r="A19" s="60" t="s">
        <v>151</v>
      </c>
      <c r="B19" s="10"/>
      <c r="C19" s="10"/>
      <c r="D19" s="10"/>
      <c r="E19" s="10"/>
      <c r="F19" s="10"/>
    </row>
    <row r="20" spans="1:6" x14ac:dyDescent="0.3">
      <c r="A20" s="14" t="s">
        <v>98</v>
      </c>
      <c r="B20" s="15" t="s">
        <v>13</v>
      </c>
      <c r="C20" s="15" t="s">
        <v>14</v>
      </c>
      <c r="D20" s="15" t="s">
        <v>15</v>
      </c>
      <c r="E20" s="15" t="s">
        <v>16</v>
      </c>
      <c r="F20" s="15" t="s">
        <v>17</v>
      </c>
    </row>
    <row r="21" spans="1:6" ht="26.4" x14ac:dyDescent="0.3">
      <c r="A21" s="32" t="s">
        <v>99</v>
      </c>
      <c r="B21" s="38">
        <f>IF(Assumptions!$C$4="Base",B9,IF(Assumptions!$C$4="Bull",I9,P9))</f>
        <v>0.19</v>
      </c>
      <c r="C21" s="38">
        <f>IF(Assumptions!$C$4="Base",C9,IF(Assumptions!$C$4="Bull",J9,Q9))</f>
        <v>0.185</v>
      </c>
      <c r="D21" s="38">
        <f>IF(Assumptions!$C$4="Base",D9,IF(Assumptions!$C$4="Bull",K9,R9))</f>
        <v>0.18</v>
      </c>
      <c r="E21" s="38">
        <f>IF(Assumptions!$C$4="Base",E9,IF(Assumptions!$C$4="Bull",L9,S9))</f>
        <v>0.17499999999999999</v>
      </c>
      <c r="F21" s="38">
        <f>IF(Assumptions!$C$4="Base",F9,IF(Assumptions!$C$4="Bull",M9,T9))</f>
        <v>0.17</v>
      </c>
    </row>
    <row r="22" spans="1:6" ht="39.6" x14ac:dyDescent="0.3">
      <c r="A22" s="32" t="s">
        <v>100</v>
      </c>
      <c r="B22" s="38">
        <f>IF(Assumptions!$C$4="Base",B10,IF(Assumptions!$C$4="Bull",I10,P10))</f>
        <v>0.15</v>
      </c>
      <c r="C22" s="38">
        <f>IF(Assumptions!$C$4="Base",C10,IF(Assumptions!$C$4="Bull",J10,Q10))</f>
        <v>0.14499999999999999</v>
      </c>
      <c r="D22" s="38">
        <f>IF(Assumptions!$C$4="Base",D10,IF(Assumptions!$C$4="Bull",K10,R10))</f>
        <v>0.14000000000000001</v>
      </c>
      <c r="E22" s="38">
        <f>IF(Assumptions!$C$4="Base",E10,IF(Assumptions!$C$4="Bull",L10,S10))</f>
        <v>0.13500000000000001</v>
      </c>
      <c r="F22" s="38">
        <f>IF(Assumptions!$C$4="Base",F10,IF(Assumptions!$C$4="Bull",M10,T10))</f>
        <v>0.13</v>
      </c>
    </row>
    <row r="23" spans="1:6" ht="39.6" x14ac:dyDescent="0.3">
      <c r="A23" s="32" t="s">
        <v>101</v>
      </c>
      <c r="B23" s="38">
        <f>IF(Assumptions!$C$4="Base",B11,IF(Assumptions!$C$4="Bull",I11,P11))</f>
        <v>0.12</v>
      </c>
      <c r="C23" s="38">
        <f>IF(Assumptions!$C$4="Base",C11,IF(Assumptions!$C$4="Bull",J11,Q11))</f>
        <v>0.11</v>
      </c>
      <c r="D23" s="38">
        <f>IF(Assumptions!$C$4="Base",D11,IF(Assumptions!$C$4="Bull",K11,R11))</f>
        <v>0.105</v>
      </c>
      <c r="E23" s="38">
        <f>IF(Assumptions!$C$4="Base",E11,IF(Assumptions!$C$4="Bull",L11,S11))</f>
        <v>0.1</v>
      </c>
      <c r="F23" s="38">
        <f>IF(Assumptions!$C$4="Base",F11,IF(Assumptions!$C$4="Bull",M11,T11))</f>
        <v>9.5000000000000001E-2</v>
      </c>
    </row>
    <row r="24" spans="1:6" ht="39.6" x14ac:dyDescent="0.3">
      <c r="A24" s="32" t="s">
        <v>102</v>
      </c>
      <c r="B24" s="38">
        <f>IF(Assumptions!$C$4="Base",B12,IF(Assumptions!$C$4="Bull",I12,P12))</f>
        <v>0.19</v>
      </c>
      <c r="C24" s="38">
        <f>IF(Assumptions!$C$4="Base",C12,IF(Assumptions!$C$4="Bull",J12,Q12))</f>
        <v>0.18</v>
      </c>
      <c r="D24" s="38">
        <f>IF(Assumptions!$C$4="Base",D12,IF(Assumptions!$C$4="Bull",K12,R12))</f>
        <v>0.17</v>
      </c>
      <c r="E24" s="38">
        <f>IF(Assumptions!$C$4="Base",E12,IF(Assumptions!$C$4="Bull",L12,S12))</f>
        <v>0.16</v>
      </c>
      <c r="F24" s="38">
        <f>IF(Assumptions!$C$4="Base",F12,IF(Assumptions!$C$4="Bull",M12,T12))</f>
        <v>0.15</v>
      </c>
    </row>
    <row r="25" spans="1:6" ht="39.6" x14ac:dyDescent="0.3">
      <c r="A25" s="32" t="s">
        <v>103</v>
      </c>
      <c r="B25" s="38">
        <f>IF(Assumptions!$C$4="Base",B13,IF(Assumptions!$C$4="Bull",I13,P13))</f>
        <v>0.15</v>
      </c>
      <c r="C25" s="38">
        <f>IF(Assumptions!$C$4="Base",C13,IF(Assumptions!$C$4="Bull",J13,Q13))</f>
        <v>0.15</v>
      </c>
      <c r="D25" s="38">
        <f>IF(Assumptions!$C$4="Base",D13,IF(Assumptions!$C$4="Bull",K13,R13))</f>
        <v>0.15</v>
      </c>
      <c r="E25" s="38">
        <f>IF(Assumptions!$C$4="Base",E13,IF(Assumptions!$C$4="Bull",L13,S13))</f>
        <v>0.15</v>
      </c>
      <c r="F25" s="38">
        <f>IF(Assumptions!$C$4="Base",F13,IF(Assumptions!$C$4="Bull",M13,T13))</f>
        <v>0.15</v>
      </c>
    </row>
    <row r="26" spans="1:6" ht="39.6" x14ac:dyDescent="0.3">
      <c r="A26" s="32" t="s">
        <v>104</v>
      </c>
      <c r="B26" s="38">
        <f>IF(Assumptions!$C$4="Base",B14,IF(Assumptions!$C$4="Bull",I14,P14))</f>
        <v>0.24</v>
      </c>
      <c r="C26" s="38">
        <f>IF(Assumptions!$C$4="Base",C14,IF(Assumptions!$C$4="Bull",J14,Q14))</f>
        <v>0.24</v>
      </c>
      <c r="D26" s="38">
        <f>IF(Assumptions!$C$4="Base",D14,IF(Assumptions!$C$4="Bull",K14,R14))</f>
        <v>0.24</v>
      </c>
      <c r="E26" s="38">
        <f>IF(Assumptions!$C$4="Base",E14,IF(Assumptions!$C$4="Bull",L14,S14))</f>
        <v>0.24</v>
      </c>
      <c r="F26" s="38">
        <f>IF(Assumptions!$C$4="Base",F14,IF(Assumptions!$C$4="Bull",M14,T14))</f>
        <v>0.24</v>
      </c>
    </row>
    <row r="27" spans="1:6" ht="52.8" x14ac:dyDescent="0.3">
      <c r="A27" s="32" t="s">
        <v>105</v>
      </c>
      <c r="B27" s="38">
        <f>IF(Assumptions!$C$4="Base",B15,IF(Assumptions!$C$4="Bull",I15,P15))</f>
        <v>4.8000000000000001E-2</v>
      </c>
      <c r="C27" s="38">
        <f>IF(Assumptions!$C$4="Base",C15,IF(Assumptions!$C$4="Bull",J15,Q15))</f>
        <v>4.8000000000000001E-2</v>
      </c>
      <c r="D27" s="38">
        <f>IF(Assumptions!$C$4="Base",D15,IF(Assumptions!$C$4="Bull",K15,R15))</f>
        <v>4.8000000000000001E-2</v>
      </c>
      <c r="E27" s="38">
        <f>IF(Assumptions!$C$4="Base",E15,IF(Assumptions!$C$4="Bull",L15,S15))</f>
        <v>4.8000000000000001E-2</v>
      </c>
      <c r="F27" s="38">
        <f>IF(Assumptions!$C$4="Base",F15,IF(Assumptions!$C$4="Bull",M15,T15))</f>
        <v>4.8000000000000001E-2</v>
      </c>
    </row>
    <row r="28" spans="1:6" ht="26.4" x14ac:dyDescent="0.3">
      <c r="A28" s="32" t="s">
        <v>106</v>
      </c>
      <c r="B28" s="38">
        <f>IF(Assumptions!$C$4="Base",B16,IF(Assumptions!$C$4="Bull",I16,P16))</f>
        <v>0.17</v>
      </c>
      <c r="C28" s="38">
        <f>IF(Assumptions!$C$4="Base",C16,IF(Assumptions!$C$4="Bull",J16,Q16))</f>
        <v>0.17</v>
      </c>
      <c r="D28" s="38">
        <f>IF(Assumptions!$C$4="Base",D16,IF(Assumptions!$C$4="Bull",K16,R16))</f>
        <v>0.17</v>
      </c>
      <c r="E28" s="38">
        <f>IF(Assumptions!$C$4="Base",E16,IF(Assumptions!$C$4="Bull",L16,S16))</f>
        <v>0.17</v>
      </c>
      <c r="F28" s="38">
        <f>IF(Assumptions!$C$4="Base",F16,IF(Assumptions!$C$4="Bull",M16,T16))</f>
        <v>0.17</v>
      </c>
    </row>
    <row r="29" spans="1:6" ht="15" customHeight="1" x14ac:dyDescent="0.3"/>
    <row r="31" spans="1:6" ht="91.5" customHeight="1" x14ac:dyDescent="0.3"/>
    <row r="32" spans="1:6" ht="81" customHeight="1" x14ac:dyDescent="0.3"/>
    <row r="33" ht="91.5" customHeight="1" x14ac:dyDescent="0.3"/>
    <row r="34" ht="102" customHeight="1" x14ac:dyDescent="0.3"/>
    <row r="35" ht="60.75" customHeight="1" x14ac:dyDescent="0.3"/>
    <row r="36" ht="40.5" customHeight="1" x14ac:dyDescent="0.3"/>
    <row r="37" ht="102" customHeight="1" x14ac:dyDescent="0.3"/>
    <row r="38" ht="40.5" customHeight="1" x14ac:dyDescent="0.3"/>
    <row r="40" ht="15" customHeight="1" x14ac:dyDescent="0.3"/>
  </sheetData>
  <mergeCells count="6">
    <mergeCell ref="A7:F7"/>
    <mergeCell ref="H7:M7"/>
    <mergeCell ref="O7:T7"/>
    <mergeCell ref="A19:F19"/>
    <mergeCell ref="A4:B4"/>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showGridLines="0" zoomScaleNormal="100" workbookViewId="0">
      <selection activeCell="C26" sqref="C26"/>
    </sheetView>
  </sheetViews>
  <sheetFormatPr defaultColWidth="8.6640625" defaultRowHeight="14.4" x14ac:dyDescent="0.3"/>
  <cols>
    <col min="1" max="1" width="34" customWidth="1"/>
    <col min="2" max="6" width="13" customWidth="1"/>
    <col min="7" max="7" width="3" customWidth="1"/>
  </cols>
  <sheetData>
    <row r="1" spans="1:6" ht="29.25" customHeight="1" x14ac:dyDescent="0.3">
      <c r="A1" s="55" t="s">
        <v>109</v>
      </c>
      <c r="B1" s="55"/>
      <c r="C1" s="55"/>
      <c r="D1" s="55"/>
      <c r="E1" s="55"/>
      <c r="F1" s="55"/>
    </row>
    <row r="2" spans="1:6" x14ac:dyDescent="0.3">
      <c r="A2" s="57" t="str">
        <f>"Active scenario:  "&amp;Dashboard!$A$4&amp;"   |   All figures ₹ Crore, consolidated basis, FY ends 31-Mar"</f>
        <v>Active scenario:  Bull   |   All figures ₹ Crore, consolidated basis, FY ends 31-Mar</v>
      </c>
      <c r="B2" s="57"/>
      <c r="C2" s="57"/>
      <c r="D2" s="57"/>
      <c r="E2" s="57"/>
      <c r="F2" s="57"/>
    </row>
    <row r="4" spans="1:6" x14ac:dyDescent="0.3">
      <c r="A4" s="14" t="s">
        <v>27</v>
      </c>
      <c r="B4" s="15" t="s">
        <v>13</v>
      </c>
      <c r="C4" s="15" t="s">
        <v>14</v>
      </c>
      <c r="D4" s="15" t="s">
        <v>15</v>
      </c>
      <c r="E4" s="15" t="s">
        <v>16</v>
      </c>
      <c r="F4" s="15" t="s">
        <v>17</v>
      </c>
    </row>
    <row r="5" spans="1:6" x14ac:dyDescent="0.3">
      <c r="A5" s="32" t="s">
        <v>36</v>
      </c>
      <c r="B5" s="39">
        <f>'Overview and Historicals'!$F$8*(1+Assumptions!B21)</f>
        <v>232309.41999999998</v>
      </c>
      <c r="C5" s="39">
        <f>B5*(1+Assumptions!C21)</f>
        <v>275286.66269999999</v>
      </c>
      <c r="D5" s="39">
        <f>C5*(1+Assumptions!D21)</f>
        <v>324838.26198599994</v>
      </c>
      <c r="E5" s="39">
        <f>D5*(1+Assumptions!E21)</f>
        <v>381684.95783354994</v>
      </c>
      <c r="F5" s="39">
        <f>E5*(1+Assumptions!F21)</f>
        <v>446571.4006652534</v>
      </c>
    </row>
    <row r="6" spans="1:6" x14ac:dyDescent="0.3">
      <c r="A6" s="34" t="s">
        <v>110</v>
      </c>
      <c r="B6" s="40">
        <f>B5/'Overview and Historicals'!$F$8-1</f>
        <v>0.18999999999999995</v>
      </c>
      <c r="C6" s="40">
        <f>C5/B5-1</f>
        <v>0.18500000000000005</v>
      </c>
      <c r="D6" s="40">
        <f>D5/C5-1</f>
        <v>0.17999999999999994</v>
      </c>
      <c r="E6" s="40">
        <f>E5/D5-1</f>
        <v>0.17500000000000004</v>
      </c>
      <c r="F6" s="40">
        <f>F5/E5-1</f>
        <v>0.16999999999999993</v>
      </c>
    </row>
    <row r="7" spans="1:6" x14ac:dyDescent="0.3">
      <c r="A7" s="16" t="s">
        <v>40</v>
      </c>
      <c r="B7" s="41">
        <f>'Overview and Historicals'!$F$9*(1+Assumptions!B22)</f>
        <v>102383.34999999999</v>
      </c>
      <c r="C7" s="41">
        <f>B7*(1+Assumptions!C22)</f>
        <v>117228.93574999999</v>
      </c>
      <c r="D7" s="41">
        <f>C7*(1+Assumptions!D22)</f>
        <v>133640.98675499999</v>
      </c>
      <c r="E7" s="41">
        <f>D7*(1+Assumptions!E22)</f>
        <v>151682.519966925</v>
      </c>
      <c r="F7" s="41">
        <f>E7*(1+Assumptions!F22)</f>
        <v>171401.24756262524</v>
      </c>
    </row>
    <row r="8" spans="1:6" x14ac:dyDescent="0.3">
      <c r="A8" s="34" t="s">
        <v>110</v>
      </c>
      <c r="B8" s="40">
        <f>B7/'Overview and Historicals'!$F$9-1</f>
        <v>0.14999999999999991</v>
      </c>
      <c r="C8" s="40">
        <f>C7/B7-1</f>
        <v>0.14500000000000002</v>
      </c>
      <c r="D8" s="40">
        <f>D7/C7-1</f>
        <v>0.14000000000000012</v>
      </c>
      <c r="E8" s="40">
        <f>E7/D7-1</f>
        <v>0.13500000000000001</v>
      </c>
      <c r="F8" s="40">
        <f>F7/E7-1</f>
        <v>0.12999999999999989</v>
      </c>
    </row>
    <row r="9" spans="1:6" x14ac:dyDescent="0.3">
      <c r="A9" s="32" t="s">
        <v>43</v>
      </c>
      <c r="B9" s="39">
        <f>B5-B7</f>
        <v>129926.06999999999</v>
      </c>
      <c r="C9" s="39">
        <f>C5-C7</f>
        <v>158057.72694999998</v>
      </c>
      <c r="D9" s="39">
        <f>D5-D7</f>
        <v>191197.27523099995</v>
      </c>
      <c r="E9" s="39">
        <f>E5-E7</f>
        <v>230002.43786662494</v>
      </c>
      <c r="F9" s="39">
        <f>F5-F7</f>
        <v>275170.15310262819</v>
      </c>
    </row>
    <row r="10" spans="1:6" x14ac:dyDescent="0.3">
      <c r="A10" s="16" t="s">
        <v>47</v>
      </c>
      <c r="B10" s="41">
        <f>'Overview and Historicals'!$F$11*(1+Assumptions!B23)</f>
        <v>160127.52000000002</v>
      </c>
      <c r="C10" s="41">
        <f>B10*(1+Assumptions!C23)</f>
        <v>177741.54720000003</v>
      </c>
      <c r="D10" s="41">
        <f>C10*(1+Assumptions!D23)</f>
        <v>196404.40965600003</v>
      </c>
      <c r="E10" s="41">
        <f>D10*(1+Assumptions!E23)</f>
        <v>216044.85062160005</v>
      </c>
      <c r="F10" s="41">
        <f>E10*(1+Assumptions!F23)</f>
        <v>236569.11143065206</v>
      </c>
    </row>
    <row r="11" spans="1:6" x14ac:dyDescent="0.3">
      <c r="A11" s="34" t="s">
        <v>110</v>
      </c>
      <c r="B11" s="40">
        <f>B10/'Overview and Historicals'!$F$11-1</f>
        <v>0.12000000000000011</v>
      </c>
      <c r="C11" s="40">
        <f>C10/B10-1</f>
        <v>0.1100000000000001</v>
      </c>
      <c r="D11" s="40">
        <f>D10/C10-1</f>
        <v>0.10499999999999998</v>
      </c>
      <c r="E11" s="40">
        <f>E10/D10-1</f>
        <v>0.10000000000000009</v>
      </c>
      <c r="F11" s="40">
        <f>F10/E10-1</f>
        <v>9.4999999999999973E-2</v>
      </c>
    </row>
    <row r="12" spans="1:6" x14ac:dyDescent="0.3">
      <c r="A12" s="16" t="s">
        <v>53</v>
      </c>
      <c r="B12" s="41">
        <f>'Overview and Historicals'!$F$13*(1+Assumptions!B24)</f>
        <v>139111</v>
      </c>
      <c r="C12" s="41">
        <f>B12*(1+Assumptions!C24)</f>
        <v>164150.97999999998</v>
      </c>
      <c r="D12" s="41">
        <f>C12*(1+Assumptions!D24)</f>
        <v>192056.64659999998</v>
      </c>
      <c r="E12" s="41">
        <f>D12*(1+Assumptions!E24)</f>
        <v>222785.71005599995</v>
      </c>
      <c r="F12" s="41">
        <f>E12*(1+Assumptions!F24)</f>
        <v>256203.56656439992</v>
      </c>
    </row>
    <row r="13" spans="1:6" x14ac:dyDescent="0.3">
      <c r="A13" s="34" t="s">
        <v>110</v>
      </c>
      <c r="B13" s="40">
        <f>B12/'Overview and Historicals'!$F$13-1</f>
        <v>0.18999999999999995</v>
      </c>
      <c r="C13" s="40">
        <f>C12/B12-1</f>
        <v>0.17999999999999994</v>
      </c>
      <c r="D13" s="40">
        <f>D12/C12-1</f>
        <v>0.16999999999999993</v>
      </c>
      <c r="E13" s="40">
        <f>E12/D12-1</f>
        <v>0.15999999999999992</v>
      </c>
      <c r="F13" s="40">
        <f>F12/E12-1</f>
        <v>0.14999999999999991</v>
      </c>
    </row>
    <row r="14" spans="1:6" ht="26.25" customHeight="1" x14ac:dyDescent="0.3">
      <c r="A14" s="32" t="s">
        <v>57</v>
      </c>
      <c r="B14" s="42">
        <f>B9-B10+B12</f>
        <v>108909.54999999997</v>
      </c>
      <c r="C14" s="42">
        <f>C9-C10+C12</f>
        <v>144467.15974999993</v>
      </c>
      <c r="D14" s="42">
        <f>D9-D10+D12</f>
        <v>186849.51217499989</v>
      </c>
      <c r="E14" s="42">
        <f>E9-E10+E12</f>
        <v>236743.29730102484</v>
      </c>
      <c r="F14" s="42">
        <f>F9-F10+F12</f>
        <v>294804.60823637608</v>
      </c>
    </row>
    <row r="15" spans="1:6" ht="22.5" customHeight="1" x14ac:dyDescent="0.3">
      <c r="A15" s="34" t="s">
        <v>111</v>
      </c>
      <c r="B15" s="40">
        <f>B14/B5</f>
        <v>0.46881245711000435</v>
      </c>
      <c r="C15" s="40">
        <f>C14/C5</f>
        <v>0.52478808211437533</v>
      </c>
      <c r="D15" s="40">
        <f>D14/D5</f>
        <v>0.57520783122233565</v>
      </c>
      <c r="E15" s="40">
        <f>E14/E5</f>
        <v>0.62025838965408453</v>
      </c>
      <c r="F15" s="40">
        <f>F14/F5</f>
        <v>0.66015111535850324</v>
      </c>
    </row>
    <row r="16" spans="1:6" x14ac:dyDescent="0.3">
      <c r="A16" s="34" t="s">
        <v>112</v>
      </c>
      <c r="B16" s="40">
        <f>B10/(B9+B12)</f>
        <v>0.595187570248219</v>
      </c>
      <c r="C16" s="40">
        <f>C10/(C9+C12)</f>
        <v>0.55163483594992291</v>
      </c>
      <c r="D16" s="40">
        <f>D10/(D9+D12)</f>
        <v>0.51246549211466841</v>
      </c>
      <c r="E16" s="40">
        <f>E10/(E9+E12)</f>
        <v>0.47714334311268031</v>
      </c>
      <c r="F16" s="40">
        <f>F10/(F9+F12)</f>
        <v>0.44520288202979269</v>
      </c>
    </row>
    <row r="17" spans="1:6" x14ac:dyDescent="0.3">
      <c r="A17" s="16" t="s">
        <v>60</v>
      </c>
      <c r="B17" s="41">
        <f>'Overview and Historicals'!$F$15*(1+Assumptions!B25)</f>
        <v>3520.1499999999996</v>
      </c>
      <c r="C17" s="41">
        <f>B17*(1+Assumptions!C25)</f>
        <v>4048.1724999999992</v>
      </c>
      <c r="D17" s="41">
        <f>C17*(1+Assumptions!D25)</f>
        <v>4655.3983749999989</v>
      </c>
      <c r="E17" s="41">
        <f>D17*(1+Assumptions!E25)</f>
        <v>5353.7081312499986</v>
      </c>
      <c r="F17" s="41">
        <f>E17*(1+Assumptions!F25)</f>
        <v>6156.7643509374975</v>
      </c>
    </row>
    <row r="18" spans="1:6" x14ac:dyDescent="0.3">
      <c r="A18" s="32" t="s">
        <v>113</v>
      </c>
      <c r="B18" s="39">
        <f>B14-B17</f>
        <v>105389.39999999998</v>
      </c>
      <c r="C18" s="39">
        <f>C14-C17</f>
        <v>140418.98724999995</v>
      </c>
      <c r="D18" s="39">
        <f>D14-D17</f>
        <v>182194.1137999999</v>
      </c>
      <c r="E18" s="39">
        <f>E14-E17</f>
        <v>231389.58916977484</v>
      </c>
      <c r="F18" s="39">
        <f>F14-F17</f>
        <v>288647.84388543857</v>
      </c>
    </row>
    <row r="19" spans="1:6" x14ac:dyDescent="0.3">
      <c r="A19" s="34" t="s">
        <v>114</v>
      </c>
      <c r="B19" s="40">
        <f>B18/B5</f>
        <v>0.45365960622690199</v>
      </c>
      <c r="C19" s="40">
        <f>C18/C5</f>
        <v>0.51008278378900174</v>
      </c>
      <c r="D19" s="40">
        <f>D18/D5</f>
        <v>0.56087639641370879</v>
      </c>
      <c r="E19" s="40">
        <f>E18/E5</f>
        <v>0.60623187899032216</v>
      </c>
      <c r="F19" s="40">
        <f>F18/F5</f>
        <v>0.64636437410779657</v>
      </c>
    </row>
    <row r="20" spans="1:6" x14ac:dyDescent="0.3">
      <c r="A20" s="16" t="s">
        <v>67</v>
      </c>
      <c r="B20" s="41">
        <f>B18*Assumptions!B26</f>
        <v>25293.455999999995</v>
      </c>
      <c r="C20" s="41">
        <f>C18*Assumptions!C26</f>
        <v>33700.556939999988</v>
      </c>
      <c r="D20" s="41">
        <f>D18*Assumptions!D26</f>
        <v>43726.587311999974</v>
      </c>
      <c r="E20" s="41">
        <f>E18*Assumptions!E26</f>
        <v>55533.501400745961</v>
      </c>
      <c r="F20" s="41">
        <f>F18*Assumptions!F26</f>
        <v>69275.482532505252</v>
      </c>
    </row>
    <row r="21" spans="1:6" x14ac:dyDescent="0.3">
      <c r="A21" s="16" t="s">
        <v>70</v>
      </c>
      <c r="B21" s="41">
        <f>B18*Assumptions!B27</f>
        <v>5058.6911999999993</v>
      </c>
      <c r="C21" s="41">
        <f>C18*Assumptions!C27</f>
        <v>6740.1113879999975</v>
      </c>
      <c r="D21" s="41">
        <f>D18*Assumptions!D27</f>
        <v>8745.3174623999948</v>
      </c>
      <c r="E21" s="41">
        <f>E18*Assumptions!E27</f>
        <v>11106.700280149193</v>
      </c>
      <c r="F21" s="41">
        <f>F18*Assumptions!F27</f>
        <v>13855.096506501051</v>
      </c>
    </row>
    <row r="22" spans="1:6" ht="26.25" customHeight="1" x14ac:dyDescent="0.3">
      <c r="A22" s="32" t="s">
        <v>73</v>
      </c>
      <c r="B22" s="43">
        <f>B18-B20-B21</f>
        <v>75037.252799999987</v>
      </c>
      <c r="C22" s="43">
        <f>C18-C20-C21</f>
        <v>99978.318921999977</v>
      </c>
      <c r="D22" s="43">
        <f>D18-D20-D21</f>
        <v>129722.20902559995</v>
      </c>
      <c r="E22" s="43">
        <f>E18-E20-E21</f>
        <v>164749.38748887967</v>
      </c>
      <c r="F22" s="43">
        <f>F18-F20-F21</f>
        <v>205517.26484643228</v>
      </c>
    </row>
    <row r="23" spans="1:6" x14ac:dyDescent="0.3">
      <c r="A23" s="34" t="s">
        <v>115</v>
      </c>
      <c r="B23" s="40">
        <f>B22/B5</f>
        <v>0.32300563963355422</v>
      </c>
      <c r="C23" s="40">
        <f>C22/C5</f>
        <v>0.36317894205776929</v>
      </c>
      <c r="D23" s="40">
        <f>D22/D5</f>
        <v>0.39934399424656075</v>
      </c>
      <c r="E23" s="40">
        <f>E22/E5</f>
        <v>0.43163709784110932</v>
      </c>
      <c r="F23" s="40">
        <f>F22/F5</f>
        <v>0.4602114343647512</v>
      </c>
    </row>
    <row r="24" spans="1:6" ht="22.5" customHeight="1" x14ac:dyDescent="0.3">
      <c r="A24" s="34" t="s">
        <v>116</v>
      </c>
      <c r="B24" s="44">
        <f>'Overview and Historicals'!$F$20</f>
        <v>716.01</v>
      </c>
      <c r="C24" s="44">
        <f>'Overview and Historicals'!$F$20</f>
        <v>716.01</v>
      </c>
      <c r="D24" s="44">
        <f>'Overview and Historicals'!$F$20</f>
        <v>716.01</v>
      </c>
      <c r="E24" s="44">
        <f>'Overview and Historicals'!$F$20</f>
        <v>716.01</v>
      </c>
      <c r="F24" s="44">
        <f>'Overview and Historicals'!$F$20</f>
        <v>716.01</v>
      </c>
    </row>
    <row r="25" spans="1:6" x14ac:dyDescent="0.3">
      <c r="A25" s="32" t="s">
        <v>77</v>
      </c>
      <c r="B25" s="45">
        <f>B22/B24</f>
        <v>104.79916872669375</v>
      </c>
      <c r="C25" s="45">
        <f>C22/C24</f>
        <v>139.63257345847123</v>
      </c>
      <c r="D25" s="45">
        <f>D22/D24</f>
        <v>181.1737392293403</v>
      </c>
      <c r="E25" s="45">
        <f>E22/E24</f>
        <v>230.09369630155959</v>
      </c>
      <c r="F25" s="45">
        <f>F22/F24</f>
        <v>287.03127728164731</v>
      </c>
    </row>
    <row r="26" spans="1:6" x14ac:dyDescent="0.3">
      <c r="A26" s="34" t="s">
        <v>110</v>
      </c>
      <c r="B26" s="40">
        <f>B25/'Overview and Historicals'!$F$21-1</f>
        <v>0.38425450258911553</v>
      </c>
      <c r="C26" s="40">
        <f>C25/B25-1</f>
        <v>0.33238245259959731</v>
      </c>
      <c r="D26" s="40">
        <f>D25/C25-1</f>
        <v>0.29750340298085254</v>
      </c>
      <c r="E26" s="40">
        <f>E25/D25-1</f>
        <v>0.27001682076171951</v>
      </c>
      <c r="F26" s="40">
        <f>F25/E25-1</f>
        <v>0.24745389332815804</v>
      </c>
    </row>
    <row r="28" spans="1:6" ht="15" customHeight="1" x14ac:dyDescent="0.3"/>
  </sheetData>
  <mergeCells count="2">
    <mergeCell ref="A1:F1"/>
    <mergeCell ref="A2:F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4"/>
  <sheetViews>
    <sheetView showGridLines="0" zoomScale="48" zoomScaleNormal="100" workbookViewId="0">
      <selection activeCell="V20" sqref="V20"/>
    </sheetView>
  </sheetViews>
  <sheetFormatPr defaultColWidth="8.6640625" defaultRowHeight="14.4" x14ac:dyDescent="0.3"/>
  <cols>
    <col min="1" max="1" width="24.6640625" bestFit="1" customWidth="1"/>
    <col min="2" max="6" width="9.88671875" bestFit="1" customWidth="1"/>
    <col min="7" max="7" width="3" customWidth="1"/>
    <col min="8" max="8" width="21.6640625" bestFit="1" customWidth="1"/>
    <col min="9" max="13" width="9.5546875" bestFit="1" customWidth="1"/>
    <col min="15" max="15" width="24.6640625" bestFit="1" customWidth="1"/>
    <col min="16" max="20" width="9.5546875" bestFit="1" customWidth="1"/>
  </cols>
  <sheetData>
    <row r="1" spans="1:20" ht="15.75" customHeight="1" x14ac:dyDescent="0.3">
      <c r="A1" s="55" t="s">
        <v>117</v>
      </c>
      <c r="B1" s="55"/>
      <c r="C1" s="55"/>
      <c r="D1" s="55"/>
      <c r="E1" s="55"/>
      <c r="F1" s="55"/>
    </row>
    <row r="2" spans="1:20" ht="23.25" customHeight="1" x14ac:dyDescent="0.3"/>
    <row r="3" spans="1:20" x14ac:dyDescent="0.3">
      <c r="A3" s="58" t="s">
        <v>118</v>
      </c>
      <c r="B3" s="58"/>
      <c r="C3" s="58"/>
      <c r="D3" s="58"/>
      <c r="E3" s="58"/>
      <c r="F3" s="58"/>
      <c r="H3" s="8" t="s">
        <v>122</v>
      </c>
      <c r="I3" s="8"/>
      <c r="J3" s="8"/>
      <c r="K3" s="8"/>
      <c r="L3" s="8"/>
      <c r="M3" s="8"/>
      <c r="O3" s="8" t="s">
        <v>123</v>
      </c>
      <c r="P3" s="8"/>
      <c r="Q3" s="8"/>
      <c r="R3" s="8"/>
      <c r="S3" s="8"/>
      <c r="T3" s="8"/>
    </row>
    <row r="4" spans="1:20" ht="26.4" x14ac:dyDescent="0.3">
      <c r="A4" s="14" t="s">
        <v>27</v>
      </c>
      <c r="B4" s="15" t="s">
        <v>13</v>
      </c>
      <c r="C4" s="15" t="s">
        <v>14</v>
      </c>
      <c r="D4" s="15" t="s">
        <v>15</v>
      </c>
      <c r="E4" s="15" t="s">
        <v>16</v>
      </c>
      <c r="F4" s="15" t="s">
        <v>17</v>
      </c>
      <c r="H4" s="14" t="s">
        <v>27</v>
      </c>
      <c r="I4" s="15" t="s">
        <v>13</v>
      </c>
      <c r="J4" s="15" t="s">
        <v>14</v>
      </c>
      <c r="K4" s="15" t="s">
        <v>15</v>
      </c>
      <c r="L4" s="15" t="s">
        <v>16</v>
      </c>
      <c r="M4" s="15" t="s">
        <v>17</v>
      </c>
      <c r="O4" s="14" t="s">
        <v>27</v>
      </c>
      <c r="P4" s="15" t="s">
        <v>13</v>
      </c>
      <c r="Q4" s="15" t="s">
        <v>14</v>
      </c>
      <c r="R4" s="15" t="s">
        <v>15</v>
      </c>
      <c r="S4" s="15" t="s">
        <v>16</v>
      </c>
      <c r="T4" s="15" t="s">
        <v>17</v>
      </c>
    </row>
    <row r="5" spans="1:20" x14ac:dyDescent="0.3">
      <c r="A5" s="16" t="s">
        <v>36</v>
      </c>
      <c r="B5" s="41">
        <f>'Overview and Historicals'!$F$8*(1+Assumptions!B9)</f>
        <v>225476.79</v>
      </c>
      <c r="C5" s="41">
        <f>B5*(1+Assumptions!C9)</f>
        <v>259298.30849999998</v>
      </c>
      <c r="D5" s="41">
        <f>C5*(1+Assumptions!D9)</f>
        <v>296896.56323249999</v>
      </c>
      <c r="E5" s="41">
        <f>D5*(1+Assumptions!E9)</f>
        <v>338462.08208505</v>
      </c>
      <c r="F5" s="41">
        <f>E5*(1+Assumptions!F9)</f>
        <v>384154.46316653176</v>
      </c>
      <c r="H5" s="16" t="s">
        <v>36</v>
      </c>
      <c r="I5" s="41">
        <f>'Overview and Historicals'!$F$8*(1+Assumptions!I9)</f>
        <v>232309.41999999998</v>
      </c>
      <c r="J5" s="41">
        <f>I5*(1+Assumptions!J9)</f>
        <v>275286.66269999999</v>
      </c>
      <c r="K5" s="41">
        <f>J5*(1+Assumptions!K9)</f>
        <v>324838.26198599994</v>
      </c>
      <c r="L5" s="41">
        <f>K5*(1+Assumptions!L9)</f>
        <v>381684.95783354994</v>
      </c>
      <c r="M5" s="41">
        <f>L5*(1+Assumptions!M9)</f>
        <v>446571.4006652534</v>
      </c>
      <c r="O5" s="16" t="s">
        <v>36</v>
      </c>
      <c r="P5" s="41">
        <f>'Overview and Historicals'!$F$8*(1+Assumptions!P9)</f>
        <v>214739.80000000002</v>
      </c>
      <c r="Q5" s="41">
        <f>P5*(1+Assumptions!Q9)</f>
        <v>234066.38200000004</v>
      </c>
      <c r="R5" s="41">
        <f>Q5*(1+Assumptions!R9)</f>
        <v>253962.02447000003</v>
      </c>
      <c r="S5" s="41">
        <f>R5*(1+Assumptions!S9)</f>
        <v>274278.98642760003</v>
      </c>
      <c r="T5" s="41">
        <f>S5*(1+Assumptions!T9)</f>
        <v>296221.30534180807</v>
      </c>
    </row>
    <row r="6" spans="1:20" x14ac:dyDescent="0.3">
      <c r="A6" s="16" t="s">
        <v>40</v>
      </c>
      <c r="B6" s="41">
        <f>'Overview and Historicals'!$F$9*(1+Assumptions!B10)</f>
        <v>101047.91499999999</v>
      </c>
      <c r="C6" s="41">
        <f>B6*(1+Assumptions!C10)</f>
        <v>114184.14394999998</v>
      </c>
      <c r="D6" s="41">
        <f>C6*(1+Assumptions!D10)</f>
        <v>128457.16194374998</v>
      </c>
      <c r="E6" s="41">
        <f>D6*(1+Assumptions!E10)</f>
        <v>144514.30718671871</v>
      </c>
      <c r="F6" s="41">
        <f>E6*(1+Assumptions!F10)</f>
        <v>161856.02404912497</v>
      </c>
      <c r="H6" s="16" t="s">
        <v>40</v>
      </c>
      <c r="I6" s="41">
        <f>'Overview and Historicals'!$F$9*(1+Assumptions!I10)</f>
        <v>102383.34999999999</v>
      </c>
      <c r="J6" s="41">
        <f>I6*(1+Assumptions!J10)</f>
        <v>117228.93574999999</v>
      </c>
      <c r="K6" s="41">
        <f>J6*(1+Assumptions!K10)</f>
        <v>133640.98675499999</v>
      </c>
      <c r="L6" s="41">
        <f>K6*(1+Assumptions!L10)</f>
        <v>151682.519966925</v>
      </c>
      <c r="M6" s="41">
        <f>L6*(1+Assumptions!M10)</f>
        <v>171401.24756262524</v>
      </c>
      <c r="O6" s="16" t="s">
        <v>40</v>
      </c>
      <c r="P6" s="41">
        <f>'Overview and Historicals'!$F$9*(1+Assumptions!P10)</f>
        <v>99712.48000000001</v>
      </c>
      <c r="Q6" s="41">
        <f>P6*(1+Assumptions!Q10)</f>
        <v>111677.97760000003</v>
      </c>
      <c r="R6" s="41">
        <f>Q6*(1+Assumptions!R10)</f>
        <v>124520.94502400003</v>
      </c>
      <c r="S6" s="41">
        <f>R6*(1+Assumptions!S10)</f>
        <v>138218.24897664005</v>
      </c>
      <c r="T6" s="41">
        <f>S6*(1+Assumptions!T10)</f>
        <v>153422.25636407046</v>
      </c>
    </row>
    <row r="7" spans="1:20" x14ac:dyDescent="0.3">
      <c r="A7" s="16" t="s">
        <v>47</v>
      </c>
      <c r="B7" s="41">
        <f>'Overview and Historicals'!$F$11*(1+Assumptions!B11)</f>
        <v>161557.22999999998</v>
      </c>
      <c r="C7" s="41">
        <f>B7*(1+Assumptions!C11)</f>
        <v>180944.09760000001</v>
      </c>
      <c r="D7" s="41">
        <f>C7*(1+Assumptions!D11)</f>
        <v>201752.66882399999</v>
      </c>
      <c r="E7" s="41">
        <f>D7*(1+Assumptions!E11)</f>
        <v>223945.46239464002</v>
      </c>
      <c r="F7" s="41">
        <f>E7*(1+Assumptions!F11)</f>
        <v>247459.73594607721</v>
      </c>
      <c r="H7" s="16" t="s">
        <v>47</v>
      </c>
      <c r="I7" s="41">
        <f>'Overview and Historicals'!$F$11*(1+Assumptions!I11)</f>
        <v>160127.52000000002</v>
      </c>
      <c r="J7" s="41">
        <f>I7*(1+Assumptions!J11)</f>
        <v>177741.54720000003</v>
      </c>
      <c r="K7" s="41">
        <f>J7*(1+Assumptions!K11)</f>
        <v>196404.40965600003</v>
      </c>
      <c r="L7" s="41">
        <f>K7*(1+Assumptions!L11)</f>
        <v>216044.85062160005</v>
      </c>
      <c r="M7" s="41">
        <f>L7*(1+Assumptions!M11)</f>
        <v>236569.11143065206</v>
      </c>
      <c r="O7" s="16" t="s">
        <v>47</v>
      </c>
      <c r="P7" s="41">
        <f>'Overview and Historicals'!$F$11*(1+Assumptions!P11)</f>
        <v>161557.22999999998</v>
      </c>
      <c r="Q7" s="41">
        <f>P7*(1+Assumptions!Q11)</f>
        <v>182559.66989999995</v>
      </c>
      <c r="R7" s="41">
        <f>Q7*(1+Assumptions!R11)</f>
        <v>205379.62863749993</v>
      </c>
      <c r="S7" s="41">
        <f>R7*(1+Assumptions!S11)</f>
        <v>230025.18407399996</v>
      </c>
      <c r="T7" s="41">
        <f>S7*(1+Assumptions!T11)</f>
        <v>257628.20616287997</v>
      </c>
    </row>
    <row r="8" spans="1:20" x14ac:dyDescent="0.3">
      <c r="A8" s="16" t="s">
        <v>53</v>
      </c>
      <c r="B8" s="41">
        <f>'Overview and Historicals'!$F$13*(1+Assumptions!B12)</f>
        <v>134435</v>
      </c>
      <c r="C8" s="41">
        <f>B8*(1+Assumptions!C12)</f>
        <v>153255.90000000002</v>
      </c>
      <c r="D8" s="41">
        <f>C8*(1+Assumptions!D12)</f>
        <v>173945.44650000002</v>
      </c>
      <c r="E8" s="41">
        <f>D8*(1+Assumptions!E12)</f>
        <v>196558.35454500001</v>
      </c>
      <c r="F8" s="41">
        <f>E8*(1+Assumptions!F12)</f>
        <v>221128.14886312501</v>
      </c>
      <c r="H8" s="16" t="s">
        <v>53</v>
      </c>
      <c r="I8" s="41">
        <f>'Overview and Historicals'!$F$13*(1+Assumptions!I12)</f>
        <v>139111</v>
      </c>
      <c r="J8" s="41">
        <f>I8*(1+Assumptions!J12)</f>
        <v>164150.97999999998</v>
      </c>
      <c r="K8" s="41">
        <f>J8*(1+Assumptions!K12)</f>
        <v>192056.64659999998</v>
      </c>
      <c r="L8" s="41">
        <f>K8*(1+Assumptions!L12)</f>
        <v>222785.71005599995</v>
      </c>
      <c r="M8" s="41">
        <f>L8*(1+Assumptions!M12)</f>
        <v>256203.56656439992</v>
      </c>
      <c r="O8" s="16" t="s">
        <v>53</v>
      </c>
      <c r="P8" s="41">
        <f>'Overview and Historicals'!$F$13*(1+Assumptions!P12)</f>
        <v>127421.00000000001</v>
      </c>
      <c r="Q8" s="41">
        <f>P8*(1+Assumptions!Q12)</f>
        <v>137614.68000000002</v>
      </c>
      <c r="R8" s="41">
        <f>Q8*(1+Assumptions!R12)</f>
        <v>148623.85440000004</v>
      </c>
      <c r="S8" s="41">
        <f>R8*(1+Assumptions!S12)</f>
        <v>159770.64348000003</v>
      </c>
      <c r="T8" s="41">
        <f>S8*(1+Assumptions!T12)</f>
        <v>170954.58852360005</v>
      </c>
    </row>
    <row r="9" spans="1:20" x14ac:dyDescent="0.3">
      <c r="A9" s="16" t="s">
        <v>60</v>
      </c>
      <c r="B9" s="41">
        <f>'Overview and Historicals'!$F$15*(1+Assumptions!B13)</f>
        <v>3489.5400000000004</v>
      </c>
      <c r="C9" s="41">
        <f>B9*(1+Assumptions!C13)</f>
        <v>3978.075600000001</v>
      </c>
      <c r="D9" s="41">
        <f>C9*(1+Assumptions!D13)</f>
        <v>4535.0061840000017</v>
      </c>
      <c r="E9" s="41">
        <f>D9*(1+Assumptions!E13)</f>
        <v>5169.9070497600023</v>
      </c>
      <c r="F9" s="41">
        <f>E9*(1+Assumptions!F13)</f>
        <v>5893.6940367264033</v>
      </c>
      <c r="H9" s="16" t="s">
        <v>60</v>
      </c>
      <c r="I9" s="41">
        <f>'Overview and Historicals'!$F$15*(1+Assumptions!I13)</f>
        <v>3520.1499999999996</v>
      </c>
      <c r="J9" s="41">
        <f>I9*(1+Assumptions!J13)</f>
        <v>4048.1724999999992</v>
      </c>
      <c r="K9" s="41">
        <f>J9*(1+Assumptions!K13)</f>
        <v>4655.3983749999989</v>
      </c>
      <c r="L9" s="41">
        <f>K9*(1+Assumptions!L13)</f>
        <v>5353.7081312499986</v>
      </c>
      <c r="M9" s="41">
        <f>L9*(1+Assumptions!M13)</f>
        <v>6156.7643509374975</v>
      </c>
      <c r="O9" s="16" t="s">
        <v>60</v>
      </c>
      <c r="P9" s="41">
        <f>'Overview and Historicals'!$F$15*(1+Assumptions!P13)</f>
        <v>3458.93</v>
      </c>
      <c r="Q9" s="41">
        <f>P9*(1+Assumptions!Q13)</f>
        <v>3908.5908999999992</v>
      </c>
      <c r="R9" s="41">
        <f>Q9*(1+Assumptions!R13)</f>
        <v>4416.7077169999984</v>
      </c>
      <c r="S9" s="41">
        <f>R9*(1+Assumptions!S13)</f>
        <v>4990.8797202099977</v>
      </c>
      <c r="T9" s="41">
        <f>S9*(1+Assumptions!T13)</f>
        <v>5639.6940838372966</v>
      </c>
    </row>
    <row r="10" spans="1:20" x14ac:dyDescent="0.3">
      <c r="A10" s="16" t="s">
        <v>43</v>
      </c>
      <c r="B10" s="41">
        <f>B5-B6</f>
        <v>124428.87500000001</v>
      </c>
      <c r="C10" s="41">
        <f>C5-C6</f>
        <v>145114.16454999999</v>
      </c>
      <c r="D10" s="41">
        <f>D5-D6</f>
        <v>168439.40128875</v>
      </c>
      <c r="E10" s="41">
        <f>E5-E6</f>
        <v>193947.77489833129</v>
      </c>
      <c r="F10" s="41">
        <f>F5-F6</f>
        <v>222298.43911740679</v>
      </c>
      <c r="H10" s="16" t="s">
        <v>43</v>
      </c>
      <c r="I10" s="41">
        <f>I5-I6</f>
        <v>129926.06999999999</v>
      </c>
      <c r="J10" s="41">
        <f>J5-J6</f>
        <v>158057.72694999998</v>
      </c>
      <c r="K10" s="41">
        <f>K5-K6</f>
        <v>191197.27523099995</v>
      </c>
      <c r="L10" s="41">
        <f>L5-L6</f>
        <v>230002.43786662494</v>
      </c>
      <c r="M10" s="41">
        <f>M5-M6</f>
        <v>275170.15310262819</v>
      </c>
      <c r="O10" s="16" t="s">
        <v>43</v>
      </c>
      <c r="P10" s="41">
        <f>P5-P6</f>
        <v>115027.32</v>
      </c>
      <c r="Q10" s="41">
        <f>Q5-Q6</f>
        <v>122388.40440000001</v>
      </c>
      <c r="R10" s="41">
        <f>R5-R6</f>
        <v>129441.079446</v>
      </c>
      <c r="S10" s="41">
        <f>S5-S6</f>
        <v>136060.73745095998</v>
      </c>
      <c r="T10" s="41">
        <f>T5-T6</f>
        <v>142799.04897773761</v>
      </c>
    </row>
    <row r="11" spans="1:20" ht="26.4" x14ac:dyDescent="0.3">
      <c r="A11" s="16" t="s">
        <v>119</v>
      </c>
      <c r="B11" s="41">
        <f>B10-B7+B8</f>
        <v>97306.645000000033</v>
      </c>
      <c r="C11" s="41">
        <f>C10-C7+C8</f>
        <v>117425.96695</v>
      </c>
      <c r="D11" s="41">
        <f>D10-D7+D8</f>
        <v>140632.17896475003</v>
      </c>
      <c r="E11" s="41">
        <f>E10-E7+E8</f>
        <v>166560.66704869128</v>
      </c>
      <c r="F11" s="41">
        <f>F10-F7+F8</f>
        <v>195966.85203445458</v>
      </c>
      <c r="H11" s="16" t="s">
        <v>119</v>
      </c>
      <c r="I11" s="41">
        <f>I10-I7+I8</f>
        <v>108909.54999999997</v>
      </c>
      <c r="J11" s="41">
        <f>J10-J7+J8</f>
        <v>144467.15974999993</v>
      </c>
      <c r="K11" s="41">
        <f>K10-K7+K8</f>
        <v>186849.51217499989</v>
      </c>
      <c r="L11" s="41">
        <f>L10-L7+L8</f>
        <v>236743.29730102484</v>
      </c>
      <c r="M11" s="41">
        <f>M10-M7+M8</f>
        <v>294804.60823637608</v>
      </c>
      <c r="O11" s="16" t="s">
        <v>119</v>
      </c>
      <c r="P11" s="41">
        <f>P10-P7+P8</f>
        <v>80891.09000000004</v>
      </c>
      <c r="Q11" s="41">
        <f>Q10-Q7+Q8</f>
        <v>77443.414500000086</v>
      </c>
      <c r="R11" s="41">
        <f>R10-R7+R8</f>
        <v>72685.305208500111</v>
      </c>
      <c r="S11" s="41">
        <f>S10-S7+S8</f>
        <v>65806.196856960043</v>
      </c>
      <c r="T11" s="41">
        <f>T10-T7+T8</f>
        <v>56125.431338457682</v>
      </c>
    </row>
    <row r="12" spans="1:20" x14ac:dyDescent="0.3">
      <c r="A12" s="16" t="s">
        <v>64</v>
      </c>
      <c r="B12" s="41">
        <f>B11-B9</f>
        <v>93817.10500000004</v>
      </c>
      <c r="C12" s="41">
        <f>C11-C9</f>
        <v>113447.89135000001</v>
      </c>
      <c r="D12" s="41">
        <f>D11-D9</f>
        <v>136097.17278075003</v>
      </c>
      <c r="E12" s="41">
        <f>E11-E9</f>
        <v>161390.75999893129</v>
      </c>
      <c r="F12" s="41">
        <f>F11-F9</f>
        <v>190073.15799772818</v>
      </c>
      <c r="H12" s="16" t="s">
        <v>64</v>
      </c>
      <c r="I12" s="41">
        <f>I11-I9</f>
        <v>105389.39999999998</v>
      </c>
      <c r="J12" s="41">
        <f>J11-J9</f>
        <v>140418.98724999995</v>
      </c>
      <c r="K12" s="41">
        <f>K11-K9</f>
        <v>182194.1137999999</v>
      </c>
      <c r="L12" s="41">
        <f>L11-L9</f>
        <v>231389.58916977484</v>
      </c>
      <c r="M12" s="41">
        <f>M11-M9</f>
        <v>288647.84388543857</v>
      </c>
      <c r="O12" s="16" t="s">
        <v>64</v>
      </c>
      <c r="P12" s="41">
        <f>P11-P9</f>
        <v>77432.160000000047</v>
      </c>
      <c r="Q12" s="41">
        <f>Q11-Q9</f>
        <v>73534.823600000091</v>
      </c>
      <c r="R12" s="41">
        <f>R11-R9</f>
        <v>68268.597491500113</v>
      </c>
      <c r="S12" s="41">
        <f>S11-S9</f>
        <v>60815.317136750047</v>
      </c>
      <c r="T12" s="41">
        <f>T11-T9</f>
        <v>50485.737254620384</v>
      </c>
    </row>
    <row r="13" spans="1:20" x14ac:dyDescent="0.3">
      <c r="A13" s="16" t="s">
        <v>67</v>
      </c>
      <c r="B13" s="41">
        <f>B12*Assumptions!B14</f>
        <v>23454.27625000001</v>
      </c>
      <c r="C13" s="41">
        <f>C12*Assumptions!C14</f>
        <v>28361.972837500001</v>
      </c>
      <c r="D13" s="41">
        <f>D12*Assumptions!D14</f>
        <v>34024.293195187507</v>
      </c>
      <c r="E13" s="41">
        <f>E12*Assumptions!E14</f>
        <v>40347.689999732822</v>
      </c>
      <c r="F13" s="41">
        <f>F12*Assumptions!F14</f>
        <v>47518.289499432045</v>
      </c>
      <c r="H13" s="16" t="s">
        <v>67</v>
      </c>
      <c r="I13" s="41">
        <f>I12*Assumptions!I14</f>
        <v>25293.455999999995</v>
      </c>
      <c r="J13" s="41">
        <f>J12*Assumptions!J14</f>
        <v>33700.556939999988</v>
      </c>
      <c r="K13" s="41">
        <f>K12*Assumptions!K14</f>
        <v>43726.587311999974</v>
      </c>
      <c r="L13" s="41">
        <f>L12*Assumptions!L14</f>
        <v>55533.501400745961</v>
      </c>
      <c r="M13" s="41">
        <f>M12*Assumptions!M14</f>
        <v>69275.482532505252</v>
      </c>
      <c r="O13" s="16" t="s">
        <v>67</v>
      </c>
      <c r="P13" s="41">
        <f>P12*Assumptions!P14</f>
        <v>20132.361600000015</v>
      </c>
      <c r="Q13" s="41">
        <f>Q12*Assumptions!Q14</f>
        <v>19119.054136000024</v>
      </c>
      <c r="R13" s="41">
        <f>R12*Assumptions!R14</f>
        <v>17749.835347790031</v>
      </c>
      <c r="S13" s="41">
        <f>S12*Assumptions!S14</f>
        <v>15811.982455555013</v>
      </c>
      <c r="T13" s="41">
        <f>T12*Assumptions!T14</f>
        <v>13126.291686201301</v>
      </c>
    </row>
    <row r="14" spans="1:20" x14ac:dyDescent="0.3">
      <c r="A14" s="16" t="s">
        <v>120</v>
      </c>
      <c r="B14" s="41">
        <f>B12*Assumptions!B15</f>
        <v>4221.7697250000019</v>
      </c>
      <c r="C14" s="41">
        <f>C12*Assumptions!C15</f>
        <v>5105.1551107499999</v>
      </c>
      <c r="D14" s="41">
        <f>D12*Assumptions!D15</f>
        <v>6124.372775133751</v>
      </c>
      <c r="E14" s="41">
        <f>E12*Assumptions!E15</f>
        <v>7262.584199951908</v>
      </c>
      <c r="F14" s="41">
        <f>F12*Assumptions!F15</f>
        <v>8553.2921098977677</v>
      </c>
      <c r="H14" s="16" t="s">
        <v>120</v>
      </c>
      <c r="I14" s="41">
        <f>I12*Assumptions!I15</f>
        <v>5058.6911999999993</v>
      </c>
      <c r="J14" s="41">
        <f>J12*Assumptions!J15</f>
        <v>6740.1113879999975</v>
      </c>
      <c r="K14" s="41">
        <f>K12*Assumptions!K15</f>
        <v>8745.3174623999948</v>
      </c>
      <c r="L14" s="41">
        <f>L12*Assumptions!L15</f>
        <v>11106.700280149193</v>
      </c>
      <c r="M14" s="41">
        <f>M12*Assumptions!M15</f>
        <v>13855.096506501051</v>
      </c>
      <c r="O14" s="16" t="s">
        <v>120</v>
      </c>
      <c r="P14" s="41">
        <f>P12*Assumptions!P15</f>
        <v>3097.2864000000018</v>
      </c>
      <c r="Q14" s="41">
        <f>Q12*Assumptions!Q15</f>
        <v>2941.3929440000038</v>
      </c>
      <c r="R14" s="41">
        <f>R12*Assumptions!R15</f>
        <v>2730.7438996600044</v>
      </c>
      <c r="S14" s="41">
        <f>S12*Assumptions!S15</f>
        <v>2432.6126854700019</v>
      </c>
      <c r="T14" s="41">
        <f>T12*Assumptions!T15</f>
        <v>2019.4294901848154</v>
      </c>
    </row>
    <row r="15" spans="1:20" ht="26.4" x14ac:dyDescent="0.3">
      <c r="A15" s="32" t="s">
        <v>121</v>
      </c>
      <c r="B15" s="46">
        <f>B12-B13-B14</f>
        <v>66141.059025000024</v>
      </c>
      <c r="C15" s="46">
        <f>C12-C13-C14</f>
        <v>79980.76340175001</v>
      </c>
      <c r="D15" s="46">
        <f>D12-D13-D14</f>
        <v>95948.506810428764</v>
      </c>
      <c r="E15" s="46">
        <f>E12-E13-E14</f>
        <v>113780.48579924655</v>
      </c>
      <c r="F15" s="46">
        <f>F12-F13-F14</f>
        <v>134001.57638839836</v>
      </c>
      <c r="H15" s="32" t="s">
        <v>121</v>
      </c>
      <c r="I15" s="47">
        <f>I12-I13-I14</f>
        <v>75037.252799999987</v>
      </c>
      <c r="J15" s="47">
        <f>J12-J13-J14</f>
        <v>99978.318921999977</v>
      </c>
      <c r="K15" s="47">
        <f>K12-K13-K14</f>
        <v>129722.20902559995</v>
      </c>
      <c r="L15" s="47">
        <f>L12-L13-L14</f>
        <v>164749.38748887967</v>
      </c>
      <c r="M15" s="47">
        <f>M12-M13-M14</f>
        <v>205517.26484643228</v>
      </c>
      <c r="O15" s="32" t="s">
        <v>121</v>
      </c>
      <c r="P15" s="48">
        <f>P12-P13-P14</f>
        <v>54202.512000000024</v>
      </c>
      <c r="Q15" s="48">
        <f>Q12-Q13-Q14</f>
        <v>51474.376520000063</v>
      </c>
      <c r="R15" s="48">
        <f>R12-R13-R14</f>
        <v>47788.018244050079</v>
      </c>
      <c r="S15" s="48">
        <f>S12-S13-S14</f>
        <v>42570.721995725027</v>
      </c>
      <c r="T15" s="48">
        <f>T12-T13-T14</f>
        <v>35340.016078234265</v>
      </c>
    </row>
    <row r="16" spans="1:20" x14ac:dyDescent="0.3">
      <c r="A16" s="34" t="s">
        <v>115</v>
      </c>
      <c r="B16" s="40">
        <f>B15/B5</f>
        <v>0.2933386581607802</v>
      </c>
      <c r="C16" s="40">
        <f>C15/C5</f>
        <v>0.30845077187130981</v>
      </c>
      <c r="D16" s="40">
        <f>D15/D5</f>
        <v>0.32317149705532761</v>
      </c>
      <c r="E16" s="40">
        <f>E15/E5</f>
        <v>0.33616907719268646</v>
      </c>
      <c r="F16" s="40">
        <f>F15/F5</f>
        <v>0.34882212556855913</v>
      </c>
      <c r="H16" s="34" t="s">
        <v>115</v>
      </c>
      <c r="I16" s="40">
        <f>I15/I5</f>
        <v>0.32300563963355422</v>
      </c>
      <c r="J16" s="40">
        <f>J15/J5</f>
        <v>0.36317894205776929</v>
      </c>
      <c r="K16" s="40">
        <f>K15/K5</f>
        <v>0.39934399424656075</v>
      </c>
      <c r="L16" s="40">
        <f>L15/L5</f>
        <v>0.43163709784110932</v>
      </c>
      <c r="M16" s="40">
        <f>M15/M5</f>
        <v>0.4602114343647512</v>
      </c>
      <c r="O16" s="34" t="s">
        <v>115</v>
      </c>
      <c r="P16" s="40">
        <f>P15/P5</f>
        <v>0.25241018199700299</v>
      </c>
      <c r="Q16" s="40">
        <f>Q15/Q5</f>
        <v>0.2199135821221864</v>
      </c>
      <c r="R16" s="40">
        <f>R15/R5</f>
        <v>0.18816993739036433</v>
      </c>
      <c r="S16" s="40">
        <f>S15/S5</f>
        <v>0.15520956435706457</v>
      </c>
      <c r="T16" s="40">
        <f>T15/T5</f>
        <v>0.11930274913026807</v>
      </c>
    </row>
    <row r="18" spans="1:4" ht="15" customHeight="1" x14ac:dyDescent="0.3"/>
    <row r="19" spans="1:4" ht="14.4" customHeight="1" x14ac:dyDescent="0.3"/>
    <row r="25" spans="1:4" x14ac:dyDescent="0.3">
      <c r="A25" s="10" t="s">
        <v>124</v>
      </c>
      <c r="B25" s="10"/>
      <c r="C25" s="10"/>
      <c r="D25" s="10"/>
    </row>
    <row r="26" spans="1:4" x14ac:dyDescent="0.3">
      <c r="A26" s="14" t="s">
        <v>33</v>
      </c>
      <c r="B26" s="15" t="s">
        <v>125</v>
      </c>
      <c r="C26" s="15" t="s">
        <v>126</v>
      </c>
      <c r="D26" s="15" t="s">
        <v>127</v>
      </c>
    </row>
    <row r="27" spans="1:4" x14ac:dyDescent="0.3">
      <c r="A27" s="16" t="s">
        <v>18</v>
      </c>
      <c r="B27" s="49">
        <f>F5</f>
        <v>384154.46316653176</v>
      </c>
      <c r="C27" s="49">
        <f>M5</f>
        <v>446571.4006652534</v>
      </c>
      <c r="D27" s="49">
        <f>T5</f>
        <v>296221.30534180807</v>
      </c>
    </row>
    <row r="28" spans="1:4" x14ac:dyDescent="0.3">
      <c r="A28" s="16" t="s">
        <v>128</v>
      </c>
      <c r="B28" s="49">
        <f>F11</f>
        <v>195966.85203445458</v>
      </c>
      <c r="C28" s="49">
        <f>M11</f>
        <v>294804.60823637608</v>
      </c>
      <c r="D28" s="49">
        <f>T11</f>
        <v>56125.431338457682</v>
      </c>
    </row>
    <row r="29" spans="1:4" x14ac:dyDescent="0.3">
      <c r="A29" s="16" t="s">
        <v>19</v>
      </c>
      <c r="B29" s="49">
        <f>F15</f>
        <v>134001.57638839836</v>
      </c>
      <c r="C29" s="49">
        <f>M15</f>
        <v>205517.26484643228</v>
      </c>
      <c r="D29" s="49">
        <f>T15</f>
        <v>35340.016078234265</v>
      </c>
    </row>
    <row r="30" spans="1:4" x14ac:dyDescent="0.3">
      <c r="A30" s="16" t="s">
        <v>129</v>
      </c>
      <c r="B30" s="50">
        <f>F15/F5</f>
        <v>0.34882212556855913</v>
      </c>
      <c r="C30" s="50">
        <f>M15/M5</f>
        <v>0.4602114343647512</v>
      </c>
      <c r="D30" s="50">
        <f>T15/T5</f>
        <v>0.11930274913026807</v>
      </c>
    </row>
    <row r="31" spans="1:4" ht="26.4" x14ac:dyDescent="0.3">
      <c r="A31" s="16" t="s">
        <v>130</v>
      </c>
      <c r="B31" s="50">
        <f>(F15/'Overview and Historicals'!$F$19)^(1/5)-1</f>
        <v>0.19842203405551229</v>
      </c>
      <c r="C31" s="50">
        <f>(M15/'Overview and Historicals'!$F$19)^(1/5)-1</f>
        <v>0.30544165425227265</v>
      </c>
      <c r="D31" s="50">
        <f>(T15/'Overview and Historicals'!$F$19)^(1/5)-1</f>
        <v>-8.2003231559500178E-2</v>
      </c>
    </row>
    <row r="33" ht="15" customHeight="1" x14ac:dyDescent="0.3"/>
    <row r="48" ht="15" customHeight="1" x14ac:dyDescent="0.3"/>
    <row r="54" ht="26.25" customHeight="1" x14ac:dyDescent="0.3"/>
  </sheetData>
  <mergeCells count="5">
    <mergeCell ref="A25:D25"/>
    <mergeCell ref="A1:F1"/>
    <mergeCell ref="A3:F3"/>
    <mergeCell ref="H3:M3"/>
    <mergeCell ref="O3:T3"/>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46"/>
  <sheetViews>
    <sheetView showGridLines="0" tabSelected="1" zoomScale="137" zoomScaleNormal="81" workbookViewId="0">
      <selection activeCell="B39" sqref="B39:B40"/>
    </sheetView>
  </sheetViews>
  <sheetFormatPr defaultColWidth="8.6640625" defaultRowHeight="14.4" x14ac:dyDescent="0.3"/>
  <cols>
    <col min="1" max="1" width="4" customWidth="1"/>
    <col min="2" max="2" width="90" customWidth="1"/>
    <col min="3" max="3" width="4" customWidth="1"/>
  </cols>
  <sheetData>
    <row r="2" spans="2:2" ht="21" customHeight="1" x14ac:dyDescent="0.3">
      <c r="B2" s="51" t="s">
        <v>131</v>
      </c>
    </row>
    <row r="5" spans="2:2" x14ac:dyDescent="0.3">
      <c r="B5" s="32" t="s">
        <v>132</v>
      </c>
    </row>
    <row r="6" spans="2:2" x14ac:dyDescent="0.3">
      <c r="B6" s="13" t="str">
        <f>"Under the "&amp;Dashboard!$A$4&amp;" scenario, ICICI Bank's consolidated Revenue is projected to grow from ₹"&amp;TEXT('Overview and Historicals'!$F$8,"#,##0")&amp;" Cr (FY25-26) to ₹"&amp;TEXT(Forecast!F5,"#,##0")&amp;" Cr by FY30-31E ("&amp;TEXT((Forecast!F5/'Overview and Historicals'!$F$8)^(1/5)-1,"0.0%")&amp;" CAGR), while Net Profit (attributable) grows from ₹"&amp;TEXT('Overview and Historicals'!$F$19,"#,##0")&amp;" Cr to ₹"&amp;TEXT(Forecast!F22,"#,##0")&amp;" Cr ("&amp;TEXT((Forecast!F22/'Overview and Historicals'!$F$19)^(1/5)-1,"0.0%")&amp;" CAGR), with the Net Margin moving to "&amp;TEXT(Forecast!F22/Forecast!F5,"0.0%")&amp;" from "&amp;TEXT('Overview and Historicals'!$F$19/'Overview and Historicals'!$F$8,"0.0%")&amp;" today."</f>
        <v>Under the Bull scenario, ICICI Bank's consolidated Revenue is projected to grow from ₹1,95,218 Cr (FY25-26) to ₹4,46,571 Cr by FY30-31E (18.0% CAGR), while Net Profit (attributable) grows from ₹54,208 Cr to ₹2,05,517 Cr (30.5% CAGR), with the Net Margin moving to 46.0% from 27.8% today.</v>
      </c>
    </row>
    <row r="7" spans="2:2" x14ac:dyDescent="0.3">
      <c r="B7" s="13"/>
    </row>
    <row r="8" spans="2:2" x14ac:dyDescent="0.3">
      <c r="B8" s="13"/>
    </row>
    <row r="10" spans="2:2" x14ac:dyDescent="0.3">
      <c r="B10" s="32" t="s">
        <v>133</v>
      </c>
    </row>
    <row r="11" spans="2:2" ht="15" customHeight="1" x14ac:dyDescent="0.3">
      <c r="B11" s="12" t="s">
        <v>134</v>
      </c>
    </row>
    <row r="12" spans="2:2" x14ac:dyDescent="0.3">
      <c r="B12" s="12"/>
    </row>
    <row r="13" spans="2:2" ht="15" customHeight="1" x14ac:dyDescent="0.3">
      <c r="B13" s="12" t="s">
        <v>135</v>
      </c>
    </row>
    <row r="14" spans="2:2" x14ac:dyDescent="0.3">
      <c r="B14" s="12"/>
    </row>
    <row r="15" spans="2:2" ht="15" customHeight="1" x14ac:dyDescent="0.3">
      <c r="B15" s="12" t="s">
        <v>136</v>
      </c>
    </row>
    <row r="16" spans="2:2" x14ac:dyDescent="0.3">
      <c r="B16" s="12"/>
    </row>
    <row r="17" spans="2:2" ht="15" customHeight="1" x14ac:dyDescent="0.3">
      <c r="B17" s="12" t="s">
        <v>137</v>
      </c>
    </row>
    <row r="18" spans="2:2" x14ac:dyDescent="0.3">
      <c r="B18" s="12"/>
    </row>
    <row r="20" spans="2:2" x14ac:dyDescent="0.3">
      <c r="B20" s="32" t="s">
        <v>138</v>
      </c>
    </row>
    <row r="21" spans="2:2" ht="15" customHeight="1" x14ac:dyDescent="0.3">
      <c r="B21" s="12" t="s">
        <v>139</v>
      </c>
    </row>
    <row r="22" spans="2:2" x14ac:dyDescent="0.3">
      <c r="B22" s="12"/>
    </row>
    <row r="23" spans="2:2" ht="15" customHeight="1" x14ac:dyDescent="0.3">
      <c r="B23" s="12" t="s">
        <v>140</v>
      </c>
    </row>
    <row r="24" spans="2:2" x14ac:dyDescent="0.3">
      <c r="B24" s="12"/>
    </row>
    <row r="25" spans="2:2" ht="15" customHeight="1" x14ac:dyDescent="0.3">
      <c r="B25" s="12" t="s">
        <v>141</v>
      </c>
    </row>
    <row r="26" spans="2:2" x14ac:dyDescent="0.3">
      <c r="B26" s="12"/>
    </row>
    <row r="27" spans="2:2" ht="15" customHeight="1" x14ac:dyDescent="0.3">
      <c r="B27" s="12" t="s">
        <v>142</v>
      </c>
    </row>
    <row r="28" spans="2:2" x14ac:dyDescent="0.3">
      <c r="B28" s="12"/>
    </row>
    <row r="29" spans="2:2" ht="15" customHeight="1" x14ac:dyDescent="0.3">
      <c r="B29" s="12" t="s">
        <v>143</v>
      </c>
    </row>
    <row r="30" spans="2:2" x14ac:dyDescent="0.3">
      <c r="B30" s="12"/>
    </row>
    <row r="32" spans="2:2" x14ac:dyDescent="0.3">
      <c r="B32" s="32" t="s">
        <v>144</v>
      </c>
    </row>
    <row r="33" spans="2:2" ht="15" customHeight="1" x14ac:dyDescent="0.3">
      <c r="B33" s="12" t="s">
        <v>145</v>
      </c>
    </row>
    <row r="34" spans="2:2" x14ac:dyDescent="0.3">
      <c r="B34" s="12"/>
    </row>
    <row r="35" spans="2:2" ht="15" customHeight="1" x14ac:dyDescent="0.3">
      <c r="B35" s="12" t="s">
        <v>146</v>
      </c>
    </row>
    <row r="36" spans="2:2" x14ac:dyDescent="0.3">
      <c r="B36" s="12"/>
    </row>
    <row r="37" spans="2:2" ht="15" customHeight="1" x14ac:dyDescent="0.3">
      <c r="B37" s="12" t="s">
        <v>147</v>
      </c>
    </row>
    <row r="38" spans="2:2" x14ac:dyDescent="0.3">
      <c r="B38" s="12"/>
    </row>
    <row r="39" spans="2:2" ht="15" customHeight="1" x14ac:dyDescent="0.3">
      <c r="B39" s="12" t="s">
        <v>148</v>
      </c>
    </row>
    <row r="40" spans="2:2" x14ac:dyDescent="0.3">
      <c r="B40" s="12"/>
    </row>
    <row r="43" spans="2:2" ht="15" customHeight="1" x14ac:dyDescent="0.3"/>
    <row r="46" spans="2:2" ht="60.6" customHeight="1" x14ac:dyDescent="0.3"/>
  </sheetData>
  <mergeCells count="14">
    <mergeCell ref="B33:B34"/>
    <mergeCell ref="B35:B36"/>
    <mergeCell ref="B37:B38"/>
    <mergeCell ref="B39:B40"/>
    <mergeCell ref="B21:B22"/>
    <mergeCell ref="B23:B24"/>
    <mergeCell ref="B25:B26"/>
    <mergeCell ref="B27:B28"/>
    <mergeCell ref="B29:B30"/>
    <mergeCell ref="B6:B8"/>
    <mergeCell ref="B11:B12"/>
    <mergeCell ref="B13:B14"/>
    <mergeCell ref="B15:B16"/>
    <mergeCell ref="B17:B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 and Historicals</vt:lpstr>
      <vt:lpstr>Dashboard</vt:lpstr>
      <vt:lpstr>Assumptions</vt:lpstr>
      <vt:lpstr>Forecast</vt:lpstr>
      <vt:lpstr>Scenario Analysis</vt:lpstr>
      <vt:lpstr>Management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Badhri vishal Neemkar</cp:lastModifiedBy>
  <cp:revision>2</cp:revision>
  <dcterms:created xsi:type="dcterms:W3CDTF">2026-09-12T22:19:04Z</dcterms:created>
  <dcterms:modified xsi:type="dcterms:W3CDTF">2026-09-13T06:50:05Z</dcterms:modified>
  <dc:language>en-US</dc:language>
</cp:coreProperties>
</file>